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fintech-wallet-testing-liquidpay-premium-final\test-cases\"/>
    </mc:Choice>
  </mc:AlternateContent>
  <xr:revisionPtr revIDLastSave="0" documentId="13_ncr:1_{D3EF6BA9-5B83-4A8C-877F-A5FB1FB9A9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Registration_Login" sheetId="2" r:id="rId2"/>
    <sheet name="Wallet_Account" sheetId="3" r:id="rId3"/>
    <sheet name="QR_Payment" sheetId="4" r:id="rId4"/>
    <sheet name="Transfer_Remittance" sheetId="5" r:id="rId5"/>
    <sheet name="History_Disputes" sheetId="6" r:id="rId6"/>
    <sheet name="Security_Compliance" sheetId="7" r:id="rId7"/>
    <sheet name="End_to_En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E24" i="1" s="1"/>
  <c r="B23" i="1"/>
  <c r="E23" i="1" s="1"/>
  <c r="F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E20" i="1" s="1"/>
  <c r="D15" i="1"/>
  <c r="C15" i="1"/>
  <c r="F14" i="1"/>
  <c r="E14" i="1"/>
  <c r="D14" i="1"/>
  <c r="C14" i="1"/>
  <c r="F13" i="1"/>
  <c r="E13" i="1"/>
  <c r="D13" i="1"/>
  <c r="C13" i="1"/>
  <c r="E26" i="1" l="1"/>
  <c r="E25" i="1"/>
</calcChain>
</file>

<file path=xl/sharedStrings.xml><?xml version="1.0" encoding="utf-8"?>
<sst xmlns="http://schemas.openxmlformats.org/spreadsheetml/2006/main" count="935" uniqueCount="508">
  <si>
    <t>LiquidPay - Manual Test Case Tracker</t>
  </si>
  <si>
    <t>Manual QA test suite for LiquidPay digital wallet using the provided execution-report template.</t>
  </si>
  <si>
    <t>Workbook Controls</t>
  </si>
  <si>
    <t>Default Status</t>
  </si>
  <si>
    <t>Not Run</t>
  </si>
  <si>
    <t>Default Priority</t>
  </si>
  <si>
    <t>High</t>
  </si>
  <si>
    <t>Portfolio Owner</t>
  </si>
  <si>
    <t>Ramon Tan Jr</t>
  </si>
  <si>
    <t>Primary Domain</t>
  </si>
  <si>
    <t>FinTech / Digital Wallet QA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</si>
  <si>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</si>
  <si>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</si>
  <si>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</si>
  <si>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</si>
  <si>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</si>
  <si>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</si>
  <si>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</si>
  <si>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Registration &amp; Login</t>
  </si>
  <si>
    <t>Registration_Login</t>
  </si>
  <si>
    <t>Wallet &amp; Account</t>
  </si>
  <si>
    <t>Wallet_Account</t>
  </si>
  <si>
    <t>QR Payment</t>
  </si>
  <si>
    <t>QR_Payment</t>
  </si>
  <si>
    <t>Transfer &amp; Remittance</t>
  </si>
  <si>
    <t>Transfer_Remittance</t>
  </si>
  <si>
    <t>History &amp; Disputes</t>
  </si>
  <si>
    <t>History_Disputes</t>
  </si>
  <si>
    <t>Security &amp; Compliance</t>
  </si>
  <si>
    <t>Security_Compliance</t>
  </si>
  <si>
    <t>End-to-End</t>
  </si>
  <si>
    <t>End_to_End</t>
  </si>
  <si>
    <t>Total</t>
  </si>
  <si>
    <t>Execution Status</t>
  </si>
  <si>
    <t>Status</t>
  </si>
  <si>
    <t>Count</t>
  </si>
  <si>
    <t>Execution KPI</t>
  </si>
  <si>
    <t>Total Test Cases</t>
  </si>
  <si>
    <t>Pass</t>
  </si>
  <si>
    <t>Executed Cases</t>
  </si>
  <si>
    <t>Fail</t>
  </si>
  <si>
    <t>Pass Rate</t>
  </si>
  <si>
    <t>Blocked</t>
  </si>
  <si>
    <t>Fail Rate</t>
  </si>
  <si>
    <t>Registration and Login Test Cases</t>
  </si>
  <si>
    <t>Update the Status column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</si>
  <si>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</si>
  <si>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</si>
  <si>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</si>
  <si>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</si>
  <si>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</si>
  <si>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</si>
  <si>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</si>
  <si>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</si>
  <si>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</si>
  <si>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</si>
  <si>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TC-REG-001</t>
  </si>
  <si>
    <t>Verify new user can register with valid required details</t>
  </si>
  <si>
    <t>LiquidPay app is installed on a supported device</t>
  </si>
  <si>
    <t>1. Open app
2. Tap Register
3. Enter valid mobile/email and required profile details
4. Submit registration</t>
  </si>
  <si>
    <t>Valid user profile data</t>
  </si>
  <si>
    <t>Registration succeeds and user proceeds to verification or home flow</t>
  </si>
  <si>
    <t>Positive</t>
  </si>
  <si>
    <t>Yes</t>
  </si>
  <si>
    <t>Core onboarding smoke</t>
  </si>
  <si>
    <t>TC-REG-002</t>
  </si>
  <si>
    <t>Verify mandatory registration fields are validated</t>
  </si>
  <si>
    <t>Registration screen is open</t>
  </si>
  <si>
    <t>1. Leave one or more required fields blank
2. Tap Submit/Register</t>
  </si>
  <si>
    <t>Blank required fields</t>
  </si>
  <si>
    <t>Validation messages appear and account is not created</t>
  </si>
  <si>
    <t>Negative</t>
  </si>
  <si>
    <t>Field-level validation</t>
  </si>
  <si>
    <t>TC-REG-003</t>
  </si>
  <si>
    <t>Verify invalid mobile number or email format is rejected</t>
  </si>
  <si>
    <t>1. Enter invalid email/mobile format
2. Submit form</t>
  </si>
  <si>
    <t>Invalid email/mobile formats</t>
  </si>
  <si>
    <t>Inline validation is shown and submission is blocked</t>
  </si>
  <si>
    <t>Input validation</t>
  </si>
  <si>
    <t>TC-REG-004</t>
  </si>
  <si>
    <t>Verify duplicate registration using an existing account identifier is blocked</t>
  </si>
  <si>
    <t>Existing account already exists</t>
  </si>
  <si>
    <t>1. Attempt registration using previously registered email/mobile
2. Submit</t>
  </si>
  <si>
    <t>Existing user identifier</t>
  </si>
  <si>
    <t>System prevents duplicate account creation and displays clear message</t>
  </si>
  <si>
    <t>Duplicate prevention</t>
  </si>
  <si>
    <t>TC-REG-005</t>
  </si>
  <si>
    <t>Verify underage applicant cannot complete registration</t>
  </si>
  <si>
    <t>1. Enter date of birth below minimum allowed age
2. Submit</t>
  </si>
  <si>
    <t>DOB below minimum age</t>
  </si>
  <si>
    <t>Registration is rejected due to age policy</t>
  </si>
  <si>
    <t>Compliance validation</t>
  </si>
  <si>
    <t>TC-REG-006</t>
  </si>
  <si>
    <t>Verify identity verification succeeds with valid user information</t>
  </si>
  <si>
    <t>User is registered and verification step is available</t>
  </si>
  <si>
    <t>1. Start identity verification
2. Complete with valid details
3. Submit</t>
  </si>
  <si>
    <t>Valid verification data</t>
  </si>
  <si>
    <t>Account is marked verified and eligible wallet functions become available</t>
  </si>
  <si>
    <t>Critical</t>
  </si>
  <si>
    <t>Later</t>
  </si>
  <si>
    <t>KYC success path</t>
  </si>
  <si>
    <t>TC-REG-007</t>
  </si>
  <si>
    <t>Verify verification failure or cancellation keeps user in unverified state</t>
  </si>
  <si>
    <t>Verification step is available</t>
  </si>
  <si>
    <t>1. Start identity verification
2. Cancel flow or provide invalid details</t>
  </si>
  <si>
    <t>Cancelled flow / invalid verification data</t>
  </si>
  <si>
    <t>Verification remains incomplete and restricted actions stay blocked</t>
  </si>
  <si>
    <t>KYC failure path</t>
  </si>
  <si>
    <t>TC-LOG-001</t>
  </si>
  <si>
    <t>Verify registered user can log in with valid credentials</t>
  </si>
  <si>
    <t>Existing active account exists</t>
  </si>
  <si>
    <t>1. Open login
2. Enter valid credentials
3. Submit</t>
  </si>
  <si>
    <t>Valid credentials/OTP</t>
  </si>
  <si>
    <t>Login succeeds and wallet home screen loads</t>
  </si>
  <si>
    <t>Core access path</t>
  </si>
  <si>
    <t>TC-LOG-002</t>
  </si>
  <si>
    <t>Verify invalid credentials are rejected without exposing sensitive details</t>
  </si>
  <si>
    <t>Login screen is open</t>
  </si>
  <si>
    <t>1. Enter invalid password/PIN/OTP
2. Submit</t>
  </si>
  <si>
    <t>Invalid credentials</t>
  </si>
  <si>
    <t>Login fails with generic error message and no access is granted</t>
  </si>
  <si>
    <t>Auth validation</t>
  </si>
  <si>
    <t>TC-LOG-003</t>
  </si>
  <si>
    <t>Verify multiple failed login attempts trigger protective controls</t>
  </si>
  <si>
    <t>1. Enter wrong credentials repeatedly
2. Observe response after threshold</t>
  </si>
  <si>
    <t>Repeated invalid attempts</t>
  </si>
  <si>
    <t>System enforces lockout, cooldown, or step-up verification per policy</t>
  </si>
  <si>
    <t>Security</t>
  </si>
  <si>
    <t>Brute-force control</t>
  </si>
  <si>
    <t>TC-LOG-004</t>
  </si>
  <si>
    <t>Verify user can log out successfully</t>
  </si>
  <si>
    <t>User is logged in</t>
  </si>
  <si>
    <t>1. Open profile/menu
2. Tap Logout</t>
  </si>
  <si>
    <t>N/A</t>
  </si>
  <si>
    <t>User session is ended and login screen is shown</t>
  </si>
  <si>
    <t>Medium</t>
  </si>
  <si>
    <t>Basic session control</t>
  </si>
  <si>
    <t>Wallet and Account Test Cases</t>
  </si>
  <si>
    <t>TC-WAL-001</t>
  </si>
  <si>
    <t>Verify wallet home displays current available balance</t>
  </si>
  <si>
    <t>Verified user is logged in</t>
  </si>
  <si>
    <t>1. Open wallet home/dashboard
2. Review displayed balance</t>
  </si>
  <si>
    <t>Wallet with existing balance</t>
  </si>
  <si>
    <t>Available balance is displayed accurately</t>
  </si>
  <si>
    <t>Primary wallet info</t>
  </si>
  <si>
    <t>TC-WAL-002</t>
  </si>
  <si>
    <t>Verify unverified user cannot access restricted wallet actions</t>
  </si>
  <si>
    <t>Unverified user is logged in</t>
  </si>
  <si>
    <t>1. Attempt restricted action such as transfer or certain payment flow</t>
  </si>
  <si>
    <t>Unverified account</t>
  </si>
  <si>
    <t>Restricted action is blocked with verification guidance</t>
  </si>
  <si>
    <t>Eligibility control</t>
  </si>
  <si>
    <t>TC-WAL-003</t>
  </si>
  <si>
    <t>Verify wallet profile details can be viewed without error</t>
  </si>
  <si>
    <t>1. Open account/profile section
2. Review profile details</t>
  </si>
  <si>
    <t>Existing account</t>
  </si>
  <si>
    <t>Profile details load correctly</t>
  </si>
  <si>
    <t>Profile read-only check</t>
  </si>
  <si>
    <t>TC-WAL-004</t>
  </si>
  <si>
    <t>Verify user can update editable profile information</t>
  </si>
  <si>
    <t>User is logged in and profile update is allowed</t>
  </si>
  <si>
    <t>1. Open editable profile fields
2. Update allowed field(s)
3. Save changes</t>
  </si>
  <si>
    <t>Updated profile values</t>
  </si>
  <si>
    <t>Changes are saved successfully and reflected on reload</t>
  </si>
  <si>
    <t>Profile maintenance</t>
  </si>
  <si>
    <t>TC-WAL-005</t>
  </si>
  <si>
    <t>Verify invalid profile update data is rejected</t>
  </si>
  <si>
    <t>Editable profile page is open</t>
  </si>
  <si>
    <t>1. Enter invalid format in editable field
2. Save</t>
  </si>
  <si>
    <t>Invalid profile value</t>
  </si>
  <si>
    <t>Validation is shown and invalid changes are not saved</t>
  </si>
  <si>
    <t>TC-WAL-006</t>
  </si>
  <si>
    <t>Verify wallet remains usable after app relaunch</t>
  </si>
  <si>
    <t>1. Close app
2. Relaunch app
3. Return to wallet</t>
  </si>
  <si>
    <t>Existing logged-in account</t>
  </si>
  <si>
    <t>Wallet data loads as expected according to session policy</t>
  </si>
  <si>
    <t>Regression</t>
  </si>
  <si>
    <t>State persistence</t>
  </si>
  <si>
    <t>TC-WAL-007</t>
  </si>
  <si>
    <t>Verify account freeze state is displayed clearly on wallet</t>
  </si>
  <si>
    <t>Frozen account exists</t>
  </si>
  <si>
    <t>1. Log in to frozen account
2. Review wallet banners/messages</t>
  </si>
  <si>
    <t>Frozen account</t>
  </si>
  <si>
    <t>Freeze status and restrictions are clearly displayed</t>
  </si>
  <si>
    <t>Compliance status display</t>
  </si>
  <si>
    <t>TC-WAL-008</t>
  </si>
  <si>
    <t>Verify frozen account cannot initiate transactions</t>
  </si>
  <si>
    <t>1. Attempt QR payment or transfer</t>
  </si>
  <si>
    <t>Transaction initiation is blocked consistently</t>
  </si>
  <si>
    <t>Regulatory hold</t>
  </si>
  <si>
    <t>QR Payment Test Cases</t>
  </si>
  <si>
    <t>TC-QRP-001</t>
  </si>
  <si>
    <t>Verify verified user can complete successful local QR payment</t>
  </si>
  <si>
    <t>Verified user with sufficient balance is logged in</t>
  </si>
  <si>
    <t>1. Open Scan &amp; Pay
2. Scan valid merchant QR
3. Confirm payment</t>
  </si>
  <si>
    <t>Supported local merchant QR</t>
  </si>
  <si>
    <t>Payment succeeds and confirmation is shown</t>
  </si>
  <si>
    <t>Core business flow</t>
  </si>
  <si>
    <t>TC-QRP-002</t>
  </si>
  <si>
    <t>Verify payment detail screen shows merchant/reference and amount before confirmation</t>
  </si>
  <si>
    <t>User scans a supported QR</t>
  </si>
  <si>
    <t>1. Scan valid QR
2. Review payment detail screen</t>
  </si>
  <si>
    <t>Valid QR</t>
  </si>
  <si>
    <t>Payment details are displayed accurately before user confirms</t>
  </si>
  <si>
    <t>Pre-submit confirmation</t>
  </si>
  <si>
    <t>TC-QRP-003</t>
  </si>
  <si>
    <t>Verify invalid or unreadable QR code is rejected gracefully</t>
  </si>
  <si>
    <t>Scan screen is open</t>
  </si>
  <si>
    <t>1. Scan corrupted/unsupported QR</t>
  </si>
  <si>
    <t>Invalid/unsupported QR</t>
  </si>
  <si>
    <t>System shows clear error and no transaction is created</t>
  </si>
  <si>
    <t>Unsupported input</t>
  </si>
  <si>
    <t>TC-QRP-004</t>
  </si>
  <si>
    <t>Verify expired QR code cannot be paid</t>
  </si>
  <si>
    <t>Time-bound QR is available</t>
  </si>
  <si>
    <t>1. Scan expired QR
2. Confirm payment if allowed</t>
  </si>
  <si>
    <t>Expired QR</t>
  </si>
  <si>
    <t>Payment is blocked with expired QR message</t>
  </si>
  <si>
    <t>Time validity</t>
  </si>
  <si>
    <t>TC-QRP-005</t>
  </si>
  <si>
    <t>Verify payment is blocked when wallet balance is insufficient</t>
  </si>
  <si>
    <t>Verified user has balance lower than transaction amount</t>
  </si>
  <si>
    <t>1. Scan valid QR
2. Attempt payment</t>
  </si>
  <si>
    <t>Amount &gt; available balance</t>
  </si>
  <si>
    <t>Payment fails with insufficient balance message and no debit occurs</t>
  </si>
  <si>
    <t>Funds validation</t>
  </si>
  <si>
    <t>TC-QRP-006</t>
  </si>
  <si>
    <t>Verify duplicate payment tap does not create double charge</t>
  </si>
  <si>
    <t>Valid QR is scanned and submit button is available</t>
  </si>
  <si>
    <t>1. Tap confirm multiple times rapidly</t>
  </si>
  <si>
    <t>Same QR and amount</t>
  </si>
  <si>
    <t>Only one transaction is processed and one confirmation is produced</t>
  </si>
  <si>
    <t>Idempotency</t>
  </si>
  <si>
    <t>TC-QRP-007</t>
  </si>
  <si>
    <t>Verify user can cancel before final payment submission</t>
  </si>
  <si>
    <t>Payment details are displayed</t>
  </si>
  <si>
    <t>1. Tap Cancel/Back before confirm</t>
  </si>
  <si>
    <t>No transaction is created and balance remains unchanged</t>
  </si>
  <si>
    <t>Safe exit</t>
  </si>
  <si>
    <t>TC-QRP-008</t>
  </si>
  <si>
    <t>Verify network interruption during payment does not cause inconsistent wallet debit</t>
  </si>
  <si>
    <t>Payment is in progress</t>
  </si>
  <si>
    <t>1. Scan valid QR
2. Confirm payment
3. Interrupt network mid-process</t>
  </si>
  <si>
    <t>Intermittent network</t>
  </si>
  <si>
    <t>App handles pending/unknown status safely and prevents duplicate debit</t>
  </si>
  <si>
    <t>Edge</t>
  </si>
  <si>
    <t>Timeout resilience</t>
  </si>
  <si>
    <t>TC-QRP-009</t>
  </si>
  <si>
    <t>Verify payment failure due to merchant/service decline is communicated correctly</t>
  </si>
  <si>
    <t>Supported QR flow is available with forced decline condition</t>
  </si>
  <si>
    <t>1. Scan valid QR
2. Trigger decline response</t>
  </si>
  <si>
    <t>Merchant/system decline test data</t>
  </si>
  <si>
    <t>Payment fails with clear message and no balance deduction</t>
  </si>
  <si>
    <t>Downstream decline</t>
  </si>
  <si>
    <t>TC-QRP-010</t>
  </si>
  <si>
    <t>Verify successful cross-border QR payment is processed correctly</t>
  </si>
  <si>
    <t>Verified eligible user with sufficient balance is logged in</t>
  </si>
  <si>
    <t>1. Scan supported overseas QR
2. Review payable amount
3. Confirm</t>
  </si>
  <si>
    <t>Supported overseas/cross-border QR</t>
  </si>
  <si>
    <t>Payment completes successfully and transaction is recorded accurately</t>
  </si>
  <si>
    <t>Cross-border payment</t>
  </si>
  <si>
    <t>TC-QRP-011</t>
  </si>
  <si>
    <t>Verify transaction record is created immediately after successful QR payment</t>
  </si>
  <si>
    <t>Successful QR payment has just completed</t>
  </si>
  <si>
    <t>1. Complete successful payment
2. Open recent transactions</t>
  </si>
  <si>
    <t>Successful QR payment</t>
  </si>
  <si>
    <t>Latest payment appears with correct status, amount, merchant, and reference</t>
  </si>
  <si>
    <t>History sync</t>
  </si>
  <si>
    <t>TC-QRP-012</t>
  </si>
  <si>
    <t>Verify unsupported currency or malformed amount from QR is handled safely</t>
  </si>
  <si>
    <t>Test QR with unsupported currency/malformed payload is available</t>
  </si>
  <si>
    <t>1. Scan QR with invalid amount/currency payload</t>
  </si>
  <si>
    <t>Malformed QR payload</t>
  </si>
  <si>
    <t>System rejects payment and does not proceed to debit</t>
  </si>
  <si>
    <t>Data integrity</t>
  </si>
  <si>
    <t>Transfer and Remittance Test Cases</t>
  </si>
  <si>
    <t>TC-XFR-001</t>
  </si>
  <si>
    <t>Verify successful transfer to valid recipient</t>
  </si>
  <si>
    <t>1. Open Transfer
2. Enter/select valid recipient
3. Enter amount
4. Submit</t>
  </si>
  <si>
    <t>Valid recipient and amount</t>
  </si>
  <si>
    <t>Transfer succeeds and confirmation is shown</t>
  </si>
  <si>
    <t>Core transfer flow</t>
  </si>
  <si>
    <t>TC-XFR-002</t>
  </si>
  <si>
    <t>Verify transfer summary shows recipient and amount before confirmation</t>
  </si>
  <si>
    <t>Transfer entry screen is open</t>
  </si>
  <si>
    <t>1. Enter valid recipient and amount
2. Continue to summary</t>
  </si>
  <si>
    <t>Confirmation screen displays correct recipient and transfer amount</t>
  </si>
  <si>
    <t>Pre-submit review</t>
  </si>
  <si>
    <t>TC-XFR-003</t>
  </si>
  <si>
    <t>Verify invalid recipient identifier is rejected</t>
  </si>
  <si>
    <t>1. Enter invalid recipient ID/account
2. Submit</t>
  </si>
  <si>
    <t>Invalid recipient identifier</t>
  </si>
  <si>
    <t>Transfer is blocked with validation/error message</t>
  </si>
  <si>
    <t>Recipient validation</t>
  </si>
  <si>
    <t>TC-XFR-004</t>
  </si>
  <si>
    <t>Verify insufficient balance blocks transfer</t>
  </si>
  <si>
    <t>Verified user has low balance</t>
  </si>
  <si>
    <t>1. Enter valid recipient and amount exceeding available balance
2. Submit</t>
  </si>
  <si>
    <t>Amount &gt; balance</t>
  </si>
  <si>
    <t>Transfer fails and no debit occurs</t>
  </si>
  <si>
    <t>TC-XFR-005</t>
  </si>
  <si>
    <t>Verify zero or negative transfer amount is rejected</t>
  </si>
  <si>
    <t>1. Enter zero or negative amount
2. Submit</t>
  </si>
  <si>
    <t>0 / negative amount</t>
  </si>
  <si>
    <t>Validation blocks submission</t>
  </si>
  <si>
    <t>Amount validation</t>
  </si>
  <si>
    <t>TC-XFR-006</t>
  </si>
  <si>
    <t>Verify transfer amount above allowed limit is blocked</t>
  </si>
  <si>
    <t>1. Enter valid recipient
2. Enter amount above configured limit
3. Submit</t>
  </si>
  <si>
    <t>Amount above transfer limit</t>
  </si>
  <si>
    <t>Transfer is rejected with limit message</t>
  </si>
  <si>
    <t>Transaction limit</t>
  </si>
  <si>
    <t>TC-XFR-007</t>
  </si>
  <si>
    <t>Verify duplicate transfer retry does not post twice</t>
  </si>
  <si>
    <t>Initial transfer request is already submitted</t>
  </si>
  <si>
    <t>1. Re-submit same transfer after delay/spinner
2. Check result</t>
  </si>
  <si>
    <t>Same recipient and amount</t>
  </si>
  <si>
    <t>Only one transfer is recorded</t>
  </si>
  <si>
    <t>TC-XFR-008</t>
  </si>
  <si>
    <t>Verify user can cancel transfer before final submission</t>
  </si>
  <si>
    <t>Transfer confirmation screen is open</t>
  </si>
  <si>
    <t>1. Tap Cancel/Back</t>
  </si>
  <si>
    <t>No transfer is created</t>
  </si>
  <si>
    <t>TC-XFR-009</t>
  </si>
  <si>
    <t>Verify timeout during transfer resolves to a consistent final state</t>
  </si>
  <si>
    <t>Transfer request is in progress</t>
  </si>
  <si>
    <t>1. Submit transfer
2. Simulate network timeout/interruption
3. Re-open history or refresh status</t>
  </si>
  <si>
    <t>Final status is accurate and only one financial outcome exists</t>
  </si>
  <si>
    <t>Resilience</t>
  </si>
  <si>
    <t>TC-XFR-010</t>
  </si>
  <si>
    <t>Verify cross-border transfer uses correct recipient rail details</t>
  </si>
  <si>
    <t>Cross-border transfer option is available</t>
  </si>
  <si>
    <t>1. Select supported rail/region
2. Enter recipient
3. Submit valid amount</t>
  </si>
  <si>
    <t>Supported cross-border recipient data</t>
  </si>
  <si>
    <t>Transfer succeeds and rail-specific details are recorded correctly</t>
  </si>
  <si>
    <t>Cross-border coverage</t>
  </si>
  <si>
    <t>History and Disputes Test Cases</t>
  </si>
  <si>
    <t>TC-HIS-001</t>
  </si>
  <si>
    <t>Verify recent transactions list shows latest activity in reverse chronological order</t>
  </si>
  <si>
    <t>User has multiple completed transactions</t>
  </si>
  <si>
    <t>1. Open transaction history</t>
  </si>
  <si>
    <t>Existing transaction history</t>
  </si>
  <si>
    <t>Transactions are listed newest first with visible status and amount</t>
  </si>
  <si>
    <t>Core visibility</t>
  </si>
  <si>
    <t>TC-HIS-002</t>
  </si>
  <si>
    <t>Verify transaction detail page shows accurate payment information</t>
  </si>
  <si>
    <t>At least one transaction exists</t>
  </si>
  <si>
    <t>1. Open a completed payment or transfer</t>
  </si>
  <si>
    <t>Existing transaction</t>
  </si>
  <si>
    <t>Detail page shows correct amount, date/time, counterparty/merchant, reference, and status</t>
  </si>
  <si>
    <t>Detail accuracy</t>
  </si>
  <si>
    <t>TC-HIS-003</t>
  </si>
  <si>
    <t>Verify failed transaction is labelled correctly in history</t>
  </si>
  <si>
    <t>At least one failed transaction exists</t>
  </si>
  <si>
    <t>1. Open history
2. Locate failed transaction</t>
  </si>
  <si>
    <t>Failed payment/transfer</t>
  </si>
  <si>
    <t>Failed item is clearly marked and does not appear as successful</t>
  </si>
  <si>
    <t>Failure transparency</t>
  </si>
  <si>
    <t>TC-HIS-004</t>
  </si>
  <si>
    <t>Verify pending transaction status updates correctly after backend completion</t>
  </si>
  <si>
    <t>Pending transaction exists</t>
  </si>
  <si>
    <t>1. Open history during pending state
2. Refresh later</t>
  </si>
  <si>
    <t>Pending transaction</t>
  </si>
  <si>
    <t>Status eventually updates to correct final state</t>
  </si>
  <si>
    <t>Asynchronous update</t>
  </si>
  <si>
    <t>TC-HIS-005</t>
  </si>
  <si>
    <t>Verify older transaction retrieval or message behaves per product policy</t>
  </si>
  <si>
    <t>Transaction older than in-app threshold exists</t>
  </si>
  <si>
    <t>1. Search/open older history period if supported</t>
  </si>
  <si>
    <t>Older transaction data</t>
  </si>
  <si>
    <t>App displays supported data or guidance according to retention policy</t>
  </si>
  <si>
    <t>Retention handling</t>
  </si>
  <si>
    <t>TC-HIS-006</t>
  </si>
  <si>
    <t>Verify filtering by transaction type or date works correctly</t>
  </si>
  <si>
    <t>History filters are available</t>
  </si>
  <si>
    <t>1. Apply transaction type/date filter
2. Review result set</t>
  </si>
  <si>
    <t>Date range/type filters</t>
  </si>
  <si>
    <t>Only matching transactions are shown</t>
  </si>
  <si>
    <t>Usability coverage</t>
  </si>
  <si>
    <t>TC-DSP-001</t>
  </si>
  <si>
    <t>Verify user can start dispute/refund request from a completed transaction</t>
  </si>
  <si>
    <t>Completed eligible transaction exists</t>
  </si>
  <si>
    <t>1. Open transaction details
2. Start dispute/refund flow</t>
  </si>
  <si>
    <t>Completed transaction</t>
  </si>
  <si>
    <t>Dispute/refund request flow is available and opens correctly</t>
  </si>
  <si>
    <t>Support entry point</t>
  </si>
  <si>
    <t>TC-DSP-002</t>
  </si>
  <si>
    <t>Verify dispute submission requires mandatory supporting details</t>
  </si>
  <si>
    <t>Dispute flow is open</t>
  </si>
  <si>
    <t>1. Leave mandatory dispute details blank
2. Submit</t>
  </si>
  <si>
    <t>Blank dispute details</t>
  </si>
  <si>
    <t>Submission is blocked with validation messages</t>
  </si>
  <si>
    <t>Case quality</t>
  </si>
  <si>
    <t>TC-DSP-003</t>
  </si>
  <si>
    <t>Verify successful dispute submission creates reference/case ID</t>
  </si>
  <si>
    <t>1. Complete dispute form with valid details
2. Submit</t>
  </si>
  <si>
    <t>Valid dispute data</t>
  </si>
  <si>
    <t>Case is submitted and reference ID/confirmation is displayed</t>
  </si>
  <si>
    <t>Case tracking</t>
  </si>
  <si>
    <t>TC-DSP-004</t>
  </si>
  <si>
    <t>Verify suspicious/fraud transaction can be reported to support</t>
  </si>
  <si>
    <t>Completed or suspicious transaction exists</t>
  </si>
  <si>
    <t>1. Open report fraud/support flow
2. Submit case details</t>
  </si>
  <si>
    <t>Suspicious transaction details</t>
  </si>
  <si>
    <t>Fraud report is logged successfully</t>
  </si>
  <si>
    <t>Fraud escalation</t>
  </si>
  <si>
    <t>Security and Compliance Test Cases</t>
  </si>
  <si>
    <t>TC-SEC-001</t>
  </si>
  <si>
    <t>Verify session times out after configured inactivity period</t>
  </si>
  <si>
    <t>1. Stay idle beyond timeout
2. Attempt to resume use</t>
  </si>
  <si>
    <t>Idle session</t>
  </si>
  <si>
    <t>Session expires and re-authentication is required</t>
  </si>
  <si>
    <t>Session control</t>
  </si>
  <si>
    <t>TC-SEC-002</t>
  </si>
  <si>
    <t>Verify sensitive actions require authentication or step-up validation</t>
  </si>
  <si>
    <t>Logged-in user is initiating transfer or payment</t>
  </si>
  <si>
    <t>1. Start sensitive action
2. Proceed to final confirmation</t>
  </si>
  <si>
    <t>Valid payment/transfer</t>
  </si>
  <si>
    <t>Strong auth/PIN/OTP is required before completion</t>
  </si>
  <si>
    <t>Step-up auth</t>
  </si>
  <si>
    <t>TC-SEC-003</t>
  </si>
  <si>
    <t>Verify app masks sensitive user/payment details where appropriate</t>
  </si>
  <si>
    <t>1. Open profile, history, and payment screens</t>
  </si>
  <si>
    <t>Existing user data</t>
  </si>
  <si>
    <t>Sensitive information is masked according to policy</t>
  </si>
  <si>
    <t>Privacy UX</t>
  </si>
  <si>
    <t>TC-SEC-004</t>
  </si>
  <si>
    <t>Verify rooted/jailbroken/tampered device handling follows policy</t>
  </si>
  <si>
    <t>Test device is compromised or device check is simulated</t>
  </si>
  <si>
    <t>1. Launch app on compromised/tampered environment</t>
  </si>
  <si>
    <t>Tampered device</t>
  </si>
  <si>
    <t>App warns, blocks, or restricts usage per policy</t>
  </si>
  <si>
    <t>Device integrity</t>
  </si>
  <si>
    <t>TC-SEC-005</t>
  </si>
  <si>
    <t>Verify rapid repeated transactions trigger fraud/risk controls</t>
  </si>
  <si>
    <t>1. Attempt multiple similar transactions rapidly</t>
  </si>
  <si>
    <t>Rapid repeated payment attempts</t>
  </si>
  <si>
    <t>Risk controls flag, throttle, or block suspicious pattern</t>
  </si>
  <si>
    <t>Fraud detection</t>
  </si>
  <si>
    <t>TC-SEC-006</t>
  </si>
  <si>
    <t>Verify account freeze or hold blocks all outbound financial actions</t>
  </si>
  <si>
    <t>Account is on compliance hold/freeze</t>
  </si>
  <si>
    <t>1. Attempt payment
2. Attempt transfer</t>
  </si>
  <si>
    <t>All restricted outbound actions are blocked consistently</t>
  </si>
  <si>
    <t>Compliance enforcement</t>
  </si>
  <si>
    <t>TC-SEC-007</t>
  </si>
  <si>
    <t>Verify audit evidence can be linked from requirement to test result</t>
  </si>
  <si>
    <t>Test execution artifacts and requirement IDs are available</t>
  </si>
  <si>
    <t>1. Review requirement mapping
2. Review linked evidence</t>
  </si>
  <si>
    <t>Requirement IDs and screenshots/logs</t>
  </si>
  <si>
    <t>Requirement, test case, result, and evidence are traceable</t>
  </si>
  <si>
    <t>Audit</t>
  </si>
  <si>
    <t>Release readiness</t>
  </si>
  <si>
    <t>TC-SEC-008</t>
  </si>
  <si>
    <t>Verify no production/cardholder data is used in AI-assisted test assets</t>
  </si>
  <si>
    <t>Approved AI-assisted testing workflow is available</t>
  </si>
  <si>
    <t>1. Review generated test assets/prompts/data
2. Check sample data usage</t>
  </si>
  <si>
    <t>AI-generated test assets</t>
  </si>
  <si>
    <t>Only sanitized/non-production data is present</t>
  </si>
  <si>
    <t>Compliance</t>
  </si>
  <si>
    <t>AI governance</t>
  </si>
  <si>
    <t>TC-SEC-009</t>
  </si>
  <si>
    <t>Verify app logs and client-side errors do not expose secrets</t>
  </si>
  <si>
    <t>Logging/diagnostic review is available</t>
  </si>
  <si>
    <t>1. Trigger controlled error
2. Review app/client logs</t>
  </si>
  <si>
    <t>Controlled test error</t>
  </si>
  <si>
    <t>Logs do not expose secrets, tokens, or full sensitive values</t>
  </si>
  <si>
    <t>Secure logging</t>
  </si>
  <si>
    <t>End-to-End Test Cases</t>
  </si>
  <si>
    <t>TC-E2E-001</t>
  </si>
  <si>
    <t>Verify new verified user can complete full onboarding to first successful QR payment</t>
  </si>
  <si>
    <t>Fresh user and test merchant QR are available</t>
  </si>
  <si>
    <t>1. Register new user
2. Complete verification
3. Log in
4. Scan valid QR
5. Confirm payment</t>
  </si>
  <si>
    <t>New user + valid merchant QR</t>
  </si>
  <si>
    <t>User completes onboarding and first QR payment successfully</t>
  </si>
  <si>
    <t>Flagship acceptance flow</t>
  </si>
  <si>
    <t>TC-E2E-002</t>
  </si>
  <si>
    <t>Verify returning user can complete successful transfer and see it in history</t>
  </si>
  <si>
    <t>Existing verified user with sufficient balance exists</t>
  </si>
  <si>
    <t>1. Log in
2. Transfer to valid recipient
3. Open history</t>
  </si>
  <si>
    <t>Transfer succeeds and appears correctly in history</t>
  </si>
  <si>
    <t>Primary returning-user flow</t>
  </si>
  <si>
    <t>TC-E2E-003</t>
  </si>
  <si>
    <t>Verify local QR payment totals remain consistent across payment, wallet balance, and history</t>
  </si>
  <si>
    <t>Verified user with known starting balance exists</t>
  </si>
  <si>
    <t>1. Capture starting balance
2. Complete QR payment
3. Check ending balance and history</t>
  </si>
  <si>
    <t>Valid QR and known amount</t>
  </si>
  <si>
    <t>Deduction amount matches payment and history record exactly</t>
  </si>
  <si>
    <t>Financial integrity</t>
  </si>
  <si>
    <t>TC-E2E-004</t>
  </si>
  <si>
    <t>Verify duplicate-submit protection across QR payment under network delay</t>
  </si>
  <si>
    <t>Verified user is logged in and valid QR is available</t>
  </si>
  <si>
    <t>1. Initiate payment
2. Cause delay
3. Retry/press confirm again</t>
  </si>
  <si>
    <t>Valid QR with induced delay</t>
  </si>
  <si>
    <t>Only one completed transaction exists end-to-end</t>
  </si>
  <si>
    <t>Idempotency across layers</t>
  </si>
  <si>
    <t>TC-E2E-005</t>
  </si>
  <si>
    <t>Verify frozen account cannot complete payment or transfer end-to-end</t>
  </si>
  <si>
    <t>1. Log in to frozen account
2. Attempt QR payment
3. Attempt transfer</t>
  </si>
  <si>
    <t>Both flows are blocked and status messaging is consistent</t>
  </si>
  <si>
    <t>Compliance gate</t>
  </si>
  <si>
    <t>TC-E2E-006</t>
  </si>
  <si>
    <t>Verify dispute can be raised for a completed QR payment end-to-end</t>
  </si>
  <si>
    <t>Completed eligible QR payment exists</t>
  </si>
  <si>
    <t>1. Open history
2. Open transaction
3. Submit dispute</t>
  </si>
  <si>
    <t>Completed QR payment</t>
  </si>
  <si>
    <t>Dispute submission succeeds and case reference is generated</t>
  </si>
  <si>
    <t>Post-transaction support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</si>
</sst>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7F7F7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0080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3" fillId="2" borderId="0" xfId="0" applyFont="1" applyFill="1"/>
    <xf numFmtId="0" fontId="7" fillId="0" borderId="0" xfId="0" applyFont="1"/>
    <xf numFmtId="0" fontId="9" fillId="0" borderId="0" xfId="0" applyFont="1"/>
    <xf numFmtId="164" fontId="9" fillId="4" borderId="0" xfId="0" applyNumberFormat="1" applyFont="1" applyFill="1"/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3" fillId="2" borderId="0" xfId="0" applyFont="1" applyFill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/>
    <xf numFmtId="0" fontId="2" fillId="0" borderId="0" xfId="0" applyFont="1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topLeftCell="A10" workbookViewId="0">
      <selection activeCell="K23" sqref="K23"/>
    </sheetView>
  </sheetViews>
  <sheetFormatPr defaultRowHeight="14.4" x14ac:dyDescent="0.3"/>
  <cols>
    <col min="1" max="1" width="24" customWidth="1"/>
    <col min="2" max="2" width="22" customWidth="1"/>
    <col min="3" max="3" width="14" customWidth="1"/>
    <col min="4" max="4" width="18" customWidth="1"/>
    <col min="5" max="5" width="14" customWidth="1"/>
    <col min="6" max="6" width="22" customWidth="1"/>
  </cols>
  <sheetData>
    <row r="1" spans="1:6" ht="22.05" customHeight="1" x14ac:dyDescent="0.3">
      <c r="A1" s="19" t="s">
        <v>0</v>
      </c>
      <c r="B1" s="18"/>
      <c r="C1" s="18"/>
      <c r="D1" s="18"/>
      <c r="E1" s="18"/>
      <c r="F1" s="18"/>
    </row>
    <row r="2" spans="1:6" ht="18" customHeight="1" x14ac:dyDescent="0.3"/>
    <row r="3" spans="1:6" ht="18" customHeight="1" x14ac:dyDescent="0.3">
      <c r="A3" s="1" t="s">
        <v>1</v>
      </c>
    </row>
    <row r="4" spans="1:6" ht="18" customHeight="1" x14ac:dyDescent="0.3"/>
    <row r="5" spans="1:6" ht="19.95" customHeight="1" x14ac:dyDescent="0.3">
      <c r="A5" s="17" t="s">
        <v>2</v>
      </c>
      <c r="B5" s="18"/>
      <c r="C5" s="18"/>
      <c r="D5" s="18"/>
      <c r="E5" s="18"/>
      <c r="F5" s="18"/>
    </row>
    <row r="6" spans="1:6" ht="18" customHeight="1" x14ac:dyDescent="0.3">
      <c r="A6" s="2" t="s">
        <v>3</v>
      </c>
      <c r="B6" s="3" t="s">
        <v>4</v>
      </c>
    </row>
    <row r="7" spans="1:6" ht="18" customHeight="1" x14ac:dyDescent="0.3">
      <c r="A7" s="2" t="s">
        <v>5</v>
      </c>
      <c r="B7" s="3" t="s">
        <v>6</v>
      </c>
    </row>
    <row r="8" spans="1:6" ht="18" customHeight="1" x14ac:dyDescent="0.3">
      <c r="A8" s="2" t="s">
        <v>7</v>
      </c>
      <c r="B8" s="3" t="s">
        <v>8</v>
      </c>
    </row>
    <row r="9" spans="1:6" ht="18" customHeight="1" x14ac:dyDescent="0.3">
      <c r="A9" s="2" t="s">
        <v>9</v>
      </c>
      <c r="B9" s="3" t="s">
        <v>10</v>
      </c>
    </row>
    <row r="10" spans="1:6" ht="18" customHeight="1" x14ac:dyDescent="0.3"/>
    <row r="11" spans="1:6" ht="19.95" customHeight="1" x14ac:dyDescent="0.3">
      <c r="A11" s="17" t="s">
        <v>11</v>
      </c>
      <c r="B11" s="18"/>
      <c r="C11" s="18"/>
      <c r="D11" s="18"/>
      <c r="E11" s="18"/>
      <c r="F11" s="18"/>
    </row>
    <row r="12" spans="1:6" ht="22.05" customHeight="1" x14ac:dyDescent="0.3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</row>
    <row r="13" spans="1:6" ht="18" customHeight="1" x14ac:dyDescent="0.3">
      <c r="A13" s="5" t="s">
        <v>18</v>
      </c>
      <c r="B13" s="6" t="s">
        <v>19</v>
      </c>
      <c r="C13" s="7">
        <f>COUNTA(Registration_Login!A5:A200)</f>
        <v>11</v>
      </c>
      <c r="D13" s="7">
        <f>COUNTIF(Registration_Login!H:H,"High")+COUNTIF(Registration_Login!H:H,"Critical")</f>
        <v>10</v>
      </c>
      <c r="E13" s="7">
        <f>COUNTIF(Registration_Login!I:I,"Negative")+COUNTIF(Registration_Login!I:I,"Security")+COUNTIF(Registration_Login!I:I,"Compliance")+COUNTIF(Registration_Login!I:I,"Audit")</f>
        <v>7</v>
      </c>
      <c r="F13" s="7">
        <f>COUNTIF(Registration_Login!J:J,"Yes")</f>
        <v>9</v>
      </c>
    </row>
    <row r="14" spans="1:6" ht="18" customHeight="1" x14ac:dyDescent="0.3">
      <c r="A14" s="5" t="s">
        <v>20</v>
      </c>
      <c r="B14" s="6" t="s">
        <v>21</v>
      </c>
      <c r="C14" s="7">
        <f>COUNTA(Wallet_Account!A5:A200)</f>
        <v>8</v>
      </c>
      <c r="D14" s="7">
        <f>COUNTIF(Wallet_Account!H:H,"High")+COUNTIF(Wallet_Account!H:H,"Critical")</f>
        <v>4</v>
      </c>
      <c r="E14" s="7">
        <f>COUNTIF(Wallet_Account!I:I,"Negative")+COUNTIF(Wallet_Account!I:I,"Security")+COUNTIF(Wallet_Account!I:I,"Compliance")+COUNTIF(Wallet_Account!I:I,"Audit")</f>
        <v>4</v>
      </c>
      <c r="F14" s="7">
        <f>COUNTIF(Wallet_Account!J:J,"Yes")</f>
        <v>6</v>
      </c>
    </row>
    <row r="15" spans="1:6" ht="18" customHeight="1" x14ac:dyDescent="0.3">
      <c r="A15" s="5" t="s">
        <v>22</v>
      </c>
      <c r="B15" s="6" t="s">
        <v>23</v>
      </c>
      <c r="C15" s="7">
        <f>COUNTA(QR_Payment!A5:A200)</f>
        <v>12</v>
      </c>
      <c r="D15" s="7">
        <f>COUNTIF(QR_Payment!H:H,"High")+COUNTIF(QR_Payment!H:H,"Critical")</f>
        <v>11</v>
      </c>
      <c r="E15" s="7">
        <f>COUNTIF(QR_Payment!I:I,"Negative")+COUNTIF(QR_Payment!I:I,"Security")+COUNTIF(QR_Payment!I:I,"Compliance")+COUNTIF(QR_Payment!I:I,"Audit")</f>
        <v>6</v>
      </c>
      <c r="F15" s="7">
        <f>COUNTIF(QR_Payment!J:J,"Yes")</f>
        <v>8</v>
      </c>
    </row>
    <row r="16" spans="1:6" ht="18" customHeight="1" x14ac:dyDescent="0.3">
      <c r="A16" s="5" t="s">
        <v>24</v>
      </c>
      <c r="B16" s="6" t="s">
        <v>25</v>
      </c>
      <c r="C16" s="7">
        <f>COUNTA(Transfer_Remittance!A5:A200)</f>
        <v>10</v>
      </c>
      <c r="D16" s="7">
        <f>COUNTIF(Transfer_Remittance!H:H,"High")+COUNTIF(Transfer_Remittance!H:H,"Critical")</f>
        <v>8</v>
      </c>
      <c r="E16" s="7">
        <f>COUNTIF(Transfer_Remittance!I:I,"Negative")+COUNTIF(Transfer_Remittance!I:I,"Security")+COUNTIF(Transfer_Remittance!I:I,"Compliance")+COUNTIF(Transfer_Remittance!I:I,"Audit")</f>
        <v>5</v>
      </c>
      <c r="F16" s="7">
        <f>COUNTIF(Transfer_Remittance!J:J,"Yes")</f>
        <v>8</v>
      </c>
    </row>
    <row r="17" spans="1:6" ht="18" customHeight="1" x14ac:dyDescent="0.3">
      <c r="A17" s="5" t="s">
        <v>26</v>
      </c>
      <c r="B17" s="6" t="s">
        <v>27</v>
      </c>
      <c r="C17" s="7">
        <f>COUNTA(History_Disputes!A5:A200)</f>
        <v>10</v>
      </c>
      <c r="D17" s="7">
        <f>COUNTIF(History_Disputes!H:H,"High")+COUNTIF(History_Disputes!H:H,"Critical")</f>
        <v>8</v>
      </c>
      <c r="E17" s="7">
        <f>COUNTIF(History_Disputes!I:I,"Negative")+COUNTIF(History_Disputes!I:I,"Security")+COUNTIF(History_Disputes!I:I,"Compliance")+COUNTIF(History_Disputes!I:I,"Audit")</f>
        <v>3</v>
      </c>
      <c r="F17" s="7">
        <f>COUNTIF(History_Disputes!J:J,"Yes")</f>
        <v>3</v>
      </c>
    </row>
    <row r="18" spans="1:6" ht="18" customHeight="1" x14ac:dyDescent="0.3">
      <c r="A18" s="5" t="s">
        <v>28</v>
      </c>
      <c r="B18" s="6" t="s">
        <v>29</v>
      </c>
      <c r="C18" s="7">
        <f>COUNTA(Security_Compliance!A5:A200)</f>
        <v>9</v>
      </c>
      <c r="D18" s="7">
        <f>COUNTIF(Security_Compliance!H:H,"High")+COUNTIF(Security_Compliance!H:H,"Critical")</f>
        <v>8</v>
      </c>
      <c r="E18" s="7">
        <f>COUNTIF(Security_Compliance!I:I,"Negative")+COUNTIF(Security_Compliance!I:I,"Security")+COUNTIF(Security_Compliance!I:I,"Compliance")+COUNTIF(Security_Compliance!I:I,"Audit")</f>
        <v>9</v>
      </c>
      <c r="F18" s="7">
        <f>COUNTIF(Security_Compliance!J:J,"Yes")</f>
        <v>3</v>
      </c>
    </row>
    <row r="19" spans="1:6" ht="18" customHeight="1" x14ac:dyDescent="0.3">
      <c r="A19" s="8" t="s">
        <v>30</v>
      </c>
      <c r="B19" s="9" t="s">
        <v>31</v>
      </c>
      <c r="C19" s="8">
        <f>COUNTA(End_to_End!A5:A200)</f>
        <v>6</v>
      </c>
      <c r="D19" s="8">
        <f>COUNTIF(End_to_End!H:H,"High")+COUNTIF(End_to_End!H:H,"Critical")</f>
        <v>6</v>
      </c>
      <c r="E19" s="8">
        <f>COUNTIF(End_to_End!I:I,"Negative")+COUNTIF(End_to_End!I:I,"Security")+COUNTIF(End_to_End!I:I,"Compliance")+COUNTIF(End_to_End!I:I,"Audit")</f>
        <v>2</v>
      </c>
      <c r="F19" s="8">
        <f>COUNTIF(End_to_End!J:J,"Yes")</f>
        <v>3</v>
      </c>
    </row>
    <row r="20" spans="1:6" ht="18" customHeight="1" x14ac:dyDescent="0.3">
      <c r="A20" s="4" t="s">
        <v>32</v>
      </c>
      <c r="B20" s="4"/>
      <c r="C20">
        <f>SUM(C13:C19)</f>
        <v>66</v>
      </c>
      <c r="D20" s="10">
        <f>SUM(D13:D19)</f>
        <v>55</v>
      </c>
      <c r="E20">
        <f>SUM(E13:E19)</f>
        <v>36</v>
      </c>
      <c r="F20">
        <f>SUM(F13:F19)</f>
        <v>40</v>
      </c>
    </row>
    <row r="21" spans="1:6" ht="19.95" customHeight="1" x14ac:dyDescent="0.3">
      <c r="A21" s="17" t="s">
        <v>33</v>
      </c>
      <c r="B21" s="18"/>
      <c r="C21" s="18"/>
      <c r="D21" s="18"/>
      <c r="E21" s="18"/>
      <c r="F21" s="18"/>
    </row>
    <row r="22" spans="1:6" ht="22.05" customHeight="1" x14ac:dyDescent="0.3">
      <c r="A22" s="4" t="s">
        <v>34</v>
      </c>
      <c r="B22" s="4" t="s">
        <v>35</v>
      </c>
      <c r="D22" s="20" t="s">
        <v>36</v>
      </c>
      <c r="E22" s="18"/>
      <c r="F22" s="18"/>
    </row>
    <row r="23" spans="1:6" ht="18" customHeight="1" x14ac:dyDescent="0.3">
      <c r="A23" s="11" t="s">
        <v>4</v>
      </c>
      <c r="B23" s="12">
        <f>COUNTIF(Registration_Login!K:K,A23)+COUNTIF(Wallet_Account!K:K,A23)+COUNTIF(QR_Payment!K:K,A23)+COUNTIF(Transfer_Remittance!K:K,A23)+COUNTIF(History_Disputes!K:K,A23)+COUNTIF(Security_Compliance!K:K,A23)+COUNTIF(End_to_End!K:K,A23)</f>
        <v>66</v>
      </c>
      <c r="D23" s="2" t="s">
        <v>37</v>
      </c>
      <c r="E23" s="12">
        <f>SUM(B23:B26)</f>
        <v>66</v>
      </c>
    </row>
    <row r="24" spans="1:6" ht="18" customHeight="1" x14ac:dyDescent="0.3">
      <c r="A24" s="11" t="s">
        <v>38</v>
      </c>
      <c r="B24" s="12">
        <f>COUNTIF(Registration_Login!K:K,A24)+COUNTIF(Wallet_Account!K:K,A24)+COUNTIF(QR_Payment!K:K,A24)+COUNTIF(Transfer_Remittance!K:K,A24)+COUNTIF(History_Disputes!K:K,A24)+COUNTIF(Security_Compliance!K:K,A24)+COUNTIF(End_to_End!K:K,A24)</f>
        <v>0</v>
      </c>
      <c r="D24" s="2" t="s">
        <v>39</v>
      </c>
      <c r="E24" s="12">
        <f>B24+B25+B26</f>
        <v>0</v>
      </c>
    </row>
    <row r="25" spans="1:6" ht="18" customHeight="1" x14ac:dyDescent="0.3">
      <c r="A25" s="11" t="s">
        <v>40</v>
      </c>
      <c r="B25" s="12">
        <f>COUNTIF(Registration_Login!K:K,A25)+COUNTIF(Wallet_Account!K:K,A25)+COUNTIF(QR_Payment!K:K,A25)+COUNTIF(Transfer_Remittance!K:K,A25)+COUNTIF(History_Disputes!K:K,A25)+COUNTIF(Security_Compliance!K:K,A25)+COUNTIF(End_to_End!K:K,A25)</f>
        <v>0</v>
      </c>
      <c r="D25" s="2" t="s">
        <v>41</v>
      </c>
      <c r="E25" s="13">
        <f>IF(E24=0,0,B24/E24)</f>
        <v>0</v>
      </c>
    </row>
    <row r="26" spans="1:6" ht="18" customHeight="1" x14ac:dyDescent="0.3">
      <c r="A26" s="11" t="s">
        <v>42</v>
      </c>
      <c r="B26" s="12">
        <f>COUNTIF(Registration_Login!K:K,A26)+COUNTIF(Wallet_Account!K:K,A26)+COUNTIF(QR_Payment!K:K,A26)+COUNTIF(Transfer_Remittance!K:K,A26)+COUNTIF(History_Disputes!K:K,A26)+COUNTIF(Security_Compliance!K:K,A26)+COUNTIF(End_to_End!K:K,A26)</f>
        <v>0</v>
      </c>
      <c r="D26" s="2" t="s">
        <v>43</v>
      </c>
      <c r="E26" s="13">
        <f>IF(E24=0,0,B25/E24)</f>
        <v>0</v>
      </c>
    </row>
    <row r="27" spans="1:6" ht="18" customHeight="1" x14ac:dyDescent="0.3"/>
    <row r="28" spans="1:6" ht="18" customHeight="1" x14ac:dyDescent="0.3"/>
    <row r="29" spans="1:6" ht="18" customHeight="1" x14ac:dyDescent="0.3"/>
    <row r="30" spans="1:6" ht="18" customHeight="1" x14ac:dyDescent="0.3"/>
    <row r="31" spans="1:6" ht="18" customHeight="1" x14ac:dyDescent="0.3"/>
    <row r="32" spans="1:6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5">
    <mergeCell ref="A11:F11"/>
    <mergeCell ref="A1:F1"/>
    <mergeCell ref="A5:F5"/>
    <mergeCell ref="D22:F22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showGridLines="0" workbookViewId="0">
      <selection activeCell="A5" sqref="A1:XFD1048576"/>
    </sheetView>
  </sheetViews>
  <sheetFormatPr defaultRowHeight="14.4" x14ac:dyDescent="0.3"/>
  <cols>
    <col min="1" max="1" width="10.88671875" bestFit="1" customWidth="1"/>
    <col min="2" max="2" width="18.44140625" bestFit="1" customWidth="1"/>
    <col min="3" max="3" width="65.109375" bestFit="1" customWidth="1"/>
    <col min="4" max="4" width="26.21875" bestFit="1" customWidth="1"/>
    <col min="5" max="5" width="67.109375" bestFit="1" customWidth="1"/>
    <col min="6" max="6" width="36.5546875" bestFit="1" customWidth="1"/>
    <col min="7" max="7" width="62.21875" bestFit="1" customWidth="1"/>
    <col min="8" max="8" width="8.21875" bestFit="1" customWidth="1"/>
    <col min="9" max="9" width="8.77734375" bestFit="1" customWidth="1"/>
    <col min="10" max="10" width="20.77734375" bestFit="1" customWidth="1"/>
    <col min="11" max="11" width="7.88671875" bestFit="1" customWidth="1"/>
    <col min="12" max="12" width="21.77734375" bestFit="1" customWidth="1"/>
  </cols>
  <sheetData>
    <row r="1" spans="1:12" ht="15.6" x14ac:dyDescent="0.3">
      <c r="A1" s="22" t="s">
        <v>44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57.6" x14ac:dyDescent="0.3">
      <c r="A5" s="15" t="s">
        <v>56</v>
      </c>
      <c r="B5" s="15" t="s">
        <v>18</v>
      </c>
      <c r="C5" s="15" t="s">
        <v>57</v>
      </c>
      <c r="D5" s="15" t="s">
        <v>58</v>
      </c>
      <c r="E5" s="15" t="s">
        <v>59</v>
      </c>
      <c r="F5" s="15" t="s">
        <v>60</v>
      </c>
      <c r="G5" s="15" t="s">
        <v>61</v>
      </c>
      <c r="H5" s="15" t="s">
        <v>6</v>
      </c>
      <c r="I5" s="15" t="s">
        <v>62</v>
      </c>
      <c r="J5" s="15" t="s">
        <v>63</v>
      </c>
      <c r="K5" s="15" t="s">
        <v>4</v>
      </c>
      <c r="L5" s="15" t="s">
        <v>64</v>
      </c>
    </row>
    <row r="6" spans="1:12" s="16" customFormat="1" ht="28.8" x14ac:dyDescent="0.3">
      <c r="A6" s="15" t="s">
        <v>65</v>
      </c>
      <c r="B6" s="15" t="s">
        <v>18</v>
      </c>
      <c r="C6" s="15" t="s">
        <v>66</v>
      </c>
      <c r="D6" s="15" t="s">
        <v>67</v>
      </c>
      <c r="E6" s="15" t="s">
        <v>68</v>
      </c>
      <c r="F6" s="15" t="s">
        <v>69</v>
      </c>
      <c r="G6" s="15" t="s">
        <v>70</v>
      </c>
      <c r="H6" s="15" t="s">
        <v>6</v>
      </c>
      <c r="I6" s="15" t="s">
        <v>71</v>
      </c>
      <c r="J6" s="15" t="s">
        <v>63</v>
      </c>
      <c r="K6" s="15" t="s">
        <v>4</v>
      </c>
      <c r="L6" s="15" t="s">
        <v>72</v>
      </c>
    </row>
    <row r="7" spans="1:12" s="16" customFormat="1" ht="28.8" x14ac:dyDescent="0.3">
      <c r="A7" s="15" t="s">
        <v>73</v>
      </c>
      <c r="B7" s="15" t="s">
        <v>18</v>
      </c>
      <c r="C7" s="15" t="s">
        <v>74</v>
      </c>
      <c r="D7" s="15" t="s">
        <v>67</v>
      </c>
      <c r="E7" s="15" t="s">
        <v>75</v>
      </c>
      <c r="F7" s="15" t="s">
        <v>76</v>
      </c>
      <c r="G7" s="15" t="s">
        <v>77</v>
      </c>
      <c r="H7" s="15" t="s">
        <v>6</v>
      </c>
      <c r="I7" s="15" t="s">
        <v>71</v>
      </c>
      <c r="J7" s="15" t="s">
        <v>63</v>
      </c>
      <c r="K7" s="15" t="s">
        <v>4</v>
      </c>
      <c r="L7" s="15" t="s">
        <v>78</v>
      </c>
    </row>
    <row r="8" spans="1:12" s="16" customFormat="1" ht="28.8" x14ac:dyDescent="0.3">
      <c r="A8" s="15" t="s">
        <v>79</v>
      </c>
      <c r="B8" s="15" t="s">
        <v>18</v>
      </c>
      <c r="C8" s="15" t="s">
        <v>80</v>
      </c>
      <c r="D8" s="15" t="s">
        <v>81</v>
      </c>
      <c r="E8" s="15" t="s">
        <v>82</v>
      </c>
      <c r="F8" s="15" t="s">
        <v>83</v>
      </c>
      <c r="G8" s="15" t="s">
        <v>84</v>
      </c>
      <c r="H8" s="15" t="s">
        <v>6</v>
      </c>
      <c r="I8" s="15" t="s">
        <v>71</v>
      </c>
      <c r="J8" s="15" t="s">
        <v>63</v>
      </c>
      <c r="K8" s="15" t="s">
        <v>4</v>
      </c>
      <c r="L8" s="15" t="s">
        <v>85</v>
      </c>
    </row>
    <row r="9" spans="1:12" s="16" customFormat="1" ht="28.8" x14ac:dyDescent="0.3">
      <c r="A9" s="15" t="s">
        <v>86</v>
      </c>
      <c r="B9" s="15" t="s">
        <v>18</v>
      </c>
      <c r="C9" s="15" t="s">
        <v>87</v>
      </c>
      <c r="D9" s="15" t="s">
        <v>67</v>
      </c>
      <c r="E9" s="15" t="s">
        <v>88</v>
      </c>
      <c r="F9" s="15" t="s">
        <v>89</v>
      </c>
      <c r="G9" s="15" t="s">
        <v>90</v>
      </c>
      <c r="H9" s="15" t="s">
        <v>6</v>
      </c>
      <c r="I9" s="15" t="s">
        <v>71</v>
      </c>
      <c r="J9" s="15" t="s">
        <v>63</v>
      </c>
      <c r="K9" s="15" t="s">
        <v>4</v>
      </c>
      <c r="L9" s="15" t="s">
        <v>91</v>
      </c>
    </row>
    <row r="10" spans="1:12" s="16" customFormat="1" ht="43.2" x14ac:dyDescent="0.3">
      <c r="A10" s="15" t="s">
        <v>92</v>
      </c>
      <c r="B10" s="15" t="s">
        <v>18</v>
      </c>
      <c r="C10" s="15" t="s">
        <v>93</v>
      </c>
      <c r="D10" s="15" t="s">
        <v>94</v>
      </c>
      <c r="E10" s="15" t="s">
        <v>95</v>
      </c>
      <c r="F10" s="15" t="s">
        <v>96</v>
      </c>
      <c r="G10" s="15" t="s">
        <v>97</v>
      </c>
      <c r="H10" s="15" t="s">
        <v>98</v>
      </c>
      <c r="I10" s="15" t="s">
        <v>62</v>
      </c>
      <c r="J10" s="15" t="s">
        <v>99</v>
      </c>
      <c r="K10" s="15" t="s">
        <v>4</v>
      </c>
      <c r="L10" s="15" t="s">
        <v>100</v>
      </c>
    </row>
    <row r="11" spans="1:12" s="16" customFormat="1" x14ac:dyDescent="0.3">
      <c r="A11" s="16" t="s">
        <v>101</v>
      </c>
      <c r="B11" s="16" t="s">
        <v>18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6" t="s">
        <v>106</v>
      </c>
      <c r="H11" s="16" t="s">
        <v>6</v>
      </c>
      <c r="I11" s="16" t="s">
        <v>71</v>
      </c>
      <c r="J11" s="16" t="s">
        <v>99</v>
      </c>
      <c r="K11" s="16" t="s">
        <v>4</v>
      </c>
      <c r="L11" s="16" t="s">
        <v>107</v>
      </c>
    </row>
    <row r="12" spans="1:12" s="16" customFormat="1" x14ac:dyDescent="0.3">
      <c r="A12" s="16" t="s">
        <v>108</v>
      </c>
      <c r="B12" s="16" t="s">
        <v>18</v>
      </c>
      <c r="C12" s="16" t="s">
        <v>109</v>
      </c>
      <c r="D12" s="16" t="s">
        <v>110</v>
      </c>
      <c r="E12" s="16" t="s">
        <v>111</v>
      </c>
      <c r="F12" s="16" t="s">
        <v>112</v>
      </c>
      <c r="G12" s="16" t="s">
        <v>113</v>
      </c>
      <c r="H12" s="16" t="s">
        <v>6</v>
      </c>
      <c r="I12" s="16" t="s">
        <v>62</v>
      </c>
      <c r="J12" s="16" t="s">
        <v>63</v>
      </c>
      <c r="K12" s="16" t="s">
        <v>4</v>
      </c>
      <c r="L12" s="16" t="s">
        <v>114</v>
      </c>
    </row>
    <row r="13" spans="1:12" s="16" customFormat="1" x14ac:dyDescent="0.3">
      <c r="A13" s="16" t="s">
        <v>115</v>
      </c>
      <c r="B13" s="16" t="s">
        <v>18</v>
      </c>
      <c r="C13" s="16" t="s">
        <v>116</v>
      </c>
      <c r="D13" s="16" t="s">
        <v>117</v>
      </c>
      <c r="E13" s="16" t="s">
        <v>118</v>
      </c>
      <c r="F13" s="16" t="s">
        <v>119</v>
      </c>
      <c r="G13" s="16" t="s">
        <v>120</v>
      </c>
      <c r="H13" s="16" t="s">
        <v>6</v>
      </c>
      <c r="I13" s="16" t="s">
        <v>71</v>
      </c>
      <c r="J13" s="16" t="s">
        <v>63</v>
      </c>
      <c r="K13" s="16" t="s">
        <v>4</v>
      </c>
      <c r="L13" s="16" t="s">
        <v>121</v>
      </c>
    </row>
    <row r="14" spans="1:12" s="16" customFormat="1" x14ac:dyDescent="0.3">
      <c r="A14" s="16" t="s">
        <v>122</v>
      </c>
      <c r="B14" s="16" t="s">
        <v>18</v>
      </c>
      <c r="C14" s="16" t="s">
        <v>123</v>
      </c>
      <c r="D14" s="16" t="s">
        <v>117</v>
      </c>
      <c r="E14" s="16" t="s">
        <v>124</v>
      </c>
      <c r="F14" s="16" t="s">
        <v>125</v>
      </c>
      <c r="G14" s="16" t="s">
        <v>126</v>
      </c>
      <c r="H14" s="16" t="s">
        <v>98</v>
      </c>
      <c r="I14" s="16" t="s">
        <v>127</v>
      </c>
      <c r="J14" s="16" t="s">
        <v>63</v>
      </c>
      <c r="K14" s="16" t="s">
        <v>4</v>
      </c>
      <c r="L14" s="16" t="s">
        <v>128</v>
      </c>
    </row>
    <row r="15" spans="1:12" s="16" customFormat="1" x14ac:dyDescent="0.3">
      <c r="A15" s="16" t="s">
        <v>129</v>
      </c>
      <c r="B15" s="16" t="s">
        <v>18</v>
      </c>
      <c r="C15" s="16" t="s">
        <v>130</v>
      </c>
      <c r="D15" s="16" t="s">
        <v>131</v>
      </c>
      <c r="E15" s="16" t="s">
        <v>132</v>
      </c>
      <c r="F15" s="16" t="s">
        <v>133</v>
      </c>
      <c r="G15" s="16" t="s">
        <v>134</v>
      </c>
      <c r="H15" s="16" t="s">
        <v>135</v>
      </c>
      <c r="I15" s="16" t="s">
        <v>62</v>
      </c>
      <c r="J15" s="16" t="s">
        <v>63</v>
      </c>
      <c r="K15" s="16" t="s">
        <v>4</v>
      </c>
      <c r="L15" s="16" t="s">
        <v>136</v>
      </c>
    </row>
    <row r="16" spans="1:12" s="16" customFormat="1" x14ac:dyDescent="0.3"/>
    <row r="17" s="16" customFormat="1" x14ac:dyDescent="0.3"/>
    <row r="18" s="16" customFormat="1" x14ac:dyDescent="0.3"/>
  </sheetData>
  <mergeCells count="2">
    <mergeCell ref="A2:L2"/>
    <mergeCell ref="A1:L1"/>
  </mergeCells>
  <conditionalFormatting sqref="H5:H10">
    <cfRule type="expression" dxfId="3" priority="4">
      <formula>H5="High"</formula>
    </cfRule>
  </conditionalFormatting>
  <conditionalFormatting sqref="K5:K10">
    <cfRule type="expression" dxfId="2" priority="1">
      <formula>K5="Pass"</formula>
    </cfRule>
    <cfRule type="expression" dxfId="1" priority="2">
      <formula>K5="Fail"</formula>
    </cfRule>
    <cfRule type="expression" dxfId="0" priority="3">
      <formula>K5="Blocked"</formula>
    </cfRule>
  </conditionalFormatting>
  <dataValidations count="4">
    <dataValidation type="list" allowBlank="1" sqref="H5:H10" xr:uid="{00000000-0002-0000-0100-000000000000}">
      <formula1>"High,Medium,Low"</formula1>
    </dataValidation>
    <dataValidation type="list" allowBlank="1" sqref="I5:I10" xr:uid="{00000000-0002-0000-0100-000001000000}">
      <formula1>"Positive,Negative,Boundary,Security,Regression"</formula1>
    </dataValidation>
    <dataValidation type="list" allowBlank="1" sqref="J5:J10" xr:uid="{00000000-0002-0000-0100-000002000000}">
      <formula1>"Yes,No,Later"</formula1>
    </dataValidation>
    <dataValidation type="list" allowBlank="1" sqref="K5:K10" xr:uid="{00000000-0002-0000-0100-000003000000}">
      <formula1>"Not Run,Pass,Fail,Blocked"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showGridLines="0" topLeftCell="D1" workbookViewId="0">
      <selection activeCell="E3" sqref="A1:XFD1048576"/>
    </sheetView>
  </sheetViews>
  <sheetFormatPr defaultColWidth="42.109375" defaultRowHeight="14.4" x14ac:dyDescent="0.3"/>
  <cols>
    <col min="1" max="1" width="11.21875" bestFit="1" customWidth="1"/>
    <col min="2" max="2" width="16" bestFit="1" customWidth="1"/>
    <col min="3" max="3" width="44.109375" bestFit="1" customWidth="1"/>
    <col min="4" max="5" width="41.6640625" bestFit="1" customWidth="1"/>
    <col min="6" max="6" width="25.77734375" bestFit="1" customWidth="1"/>
    <col min="7" max="7" width="40.5546875" bestFit="1" customWidth="1"/>
    <col min="8" max="8" width="8.2187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23.5546875" bestFit="1" customWidth="1"/>
  </cols>
  <sheetData>
    <row r="1" spans="1:12" ht="15.6" x14ac:dyDescent="0.3">
      <c r="A1" s="22" t="s">
        <v>137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28.8" x14ac:dyDescent="0.3">
      <c r="A5" s="15" t="s">
        <v>138</v>
      </c>
      <c r="B5" s="15" t="s">
        <v>20</v>
      </c>
      <c r="C5" s="15" t="s">
        <v>139</v>
      </c>
      <c r="D5" s="15" t="s">
        <v>140</v>
      </c>
      <c r="E5" s="15" t="s">
        <v>141</v>
      </c>
      <c r="F5" s="15" t="s">
        <v>142</v>
      </c>
      <c r="G5" s="15" t="s">
        <v>143</v>
      </c>
      <c r="H5" s="15" t="s">
        <v>6</v>
      </c>
      <c r="I5" s="15" t="s">
        <v>62</v>
      </c>
      <c r="J5" s="15" t="s">
        <v>63</v>
      </c>
      <c r="K5" s="15" t="s">
        <v>4</v>
      </c>
      <c r="L5" s="15" t="s">
        <v>144</v>
      </c>
    </row>
    <row r="6" spans="1:12" s="16" customFormat="1" ht="28.8" x14ac:dyDescent="0.3">
      <c r="A6" s="15" t="s">
        <v>145</v>
      </c>
      <c r="B6" s="15" t="s">
        <v>20</v>
      </c>
      <c r="C6" s="15" t="s">
        <v>146</v>
      </c>
      <c r="D6" s="15" t="s">
        <v>147</v>
      </c>
      <c r="E6" s="15" t="s">
        <v>148</v>
      </c>
      <c r="F6" s="15" t="s">
        <v>149</v>
      </c>
      <c r="G6" s="15" t="s">
        <v>150</v>
      </c>
      <c r="H6" s="15" t="s">
        <v>98</v>
      </c>
      <c r="I6" s="15" t="s">
        <v>71</v>
      </c>
      <c r="J6" s="15" t="s">
        <v>63</v>
      </c>
      <c r="K6" s="15" t="s">
        <v>4</v>
      </c>
      <c r="L6" s="15" t="s">
        <v>151</v>
      </c>
    </row>
    <row r="7" spans="1:12" s="16" customFormat="1" ht="28.8" x14ac:dyDescent="0.3">
      <c r="A7" s="15" t="s">
        <v>152</v>
      </c>
      <c r="B7" s="15" t="s">
        <v>20</v>
      </c>
      <c r="C7" s="15" t="s">
        <v>153</v>
      </c>
      <c r="D7" s="15" t="s">
        <v>131</v>
      </c>
      <c r="E7" s="15" t="s">
        <v>154</v>
      </c>
      <c r="F7" s="15" t="s">
        <v>155</v>
      </c>
      <c r="G7" s="15" t="s">
        <v>156</v>
      </c>
      <c r="H7" s="15" t="s">
        <v>135</v>
      </c>
      <c r="I7" s="15" t="s">
        <v>62</v>
      </c>
      <c r="J7" s="15" t="s">
        <v>63</v>
      </c>
      <c r="K7" s="15" t="s">
        <v>4</v>
      </c>
      <c r="L7" s="15" t="s">
        <v>157</v>
      </c>
    </row>
    <row r="8" spans="1:12" s="16" customFormat="1" ht="43.2" x14ac:dyDescent="0.3">
      <c r="A8" s="15" t="s">
        <v>158</v>
      </c>
      <c r="B8" s="15" t="s">
        <v>20</v>
      </c>
      <c r="C8" s="15" t="s">
        <v>159</v>
      </c>
      <c r="D8" s="15" t="s">
        <v>160</v>
      </c>
      <c r="E8" s="15" t="s">
        <v>161</v>
      </c>
      <c r="F8" s="15" t="s">
        <v>162</v>
      </c>
      <c r="G8" s="15" t="s">
        <v>163</v>
      </c>
      <c r="H8" s="15" t="s">
        <v>135</v>
      </c>
      <c r="I8" s="15" t="s">
        <v>62</v>
      </c>
      <c r="J8" s="15" t="s">
        <v>99</v>
      </c>
      <c r="K8" s="15" t="s">
        <v>4</v>
      </c>
      <c r="L8" s="15" t="s">
        <v>164</v>
      </c>
    </row>
    <row r="9" spans="1:12" s="16" customFormat="1" ht="28.8" x14ac:dyDescent="0.3">
      <c r="A9" s="15" t="s">
        <v>165</v>
      </c>
      <c r="B9" s="15" t="s">
        <v>20</v>
      </c>
      <c r="C9" s="15" t="s">
        <v>166</v>
      </c>
      <c r="D9" s="15" t="s">
        <v>167</v>
      </c>
      <c r="E9" s="15" t="s">
        <v>168</v>
      </c>
      <c r="F9" s="15" t="s">
        <v>169</v>
      </c>
      <c r="G9" s="15" t="s">
        <v>170</v>
      </c>
      <c r="H9" s="15" t="s">
        <v>135</v>
      </c>
      <c r="I9" s="15" t="s">
        <v>71</v>
      </c>
      <c r="J9" s="15" t="s">
        <v>99</v>
      </c>
      <c r="K9" s="15" t="s">
        <v>4</v>
      </c>
      <c r="L9" s="15" t="s">
        <v>78</v>
      </c>
    </row>
    <row r="10" spans="1:12" s="16" customFormat="1" ht="43.2" x14ac:dyDescent="0.3">
      <c r="A10" s="15" t="s">
        <v>171</v>
      </c>
      <c r="B10" s="15" t="s">
        <v>20</v>
      </c>
      <c r="C10" s="15" t="s">
        <v>172</v>
      </c>
      <c r="D10" s="15" t="s">
        <v>131</v>
      </c>
      <c r="E10" s="15" t="s">
        <v>173</v>
      </c>
      <c r="F10" s="15" t="s">
        <v>174</v>
      </c>
      <c r="G10" s="15" t="s">
        <v>175</v>
      </c>
      <c r="H10" s="15" t="s">
        <v>135</v>
      </c>
      <c r="I10" s="15" t="s">
        <v>176</v>
      </c>
      <c r="J10" s="15" t="s">
        <v>63</v>
      </c>
      <c r="K10" s="15" t="s">
        <v>4</v>
      </c>
      <c r="L10" s="15" t="s">
        <v>177</v>
      </c>
    </row>
    <row r="11" spans="1:12" s="16" customFormat="1" ht="28.8" x14ac:dyDescent="0.3">
      <c r="A11" s="15" t="s">
        <v>178</v>
      </c>
      <c r="B11" s="15" t="s">
        <v>20</v>
      </c>
      <c r="C11" s="15" t="s">
        <v>179</v>
      </c>
      <c r="D11" s="15" t="s">
        <v>180</v>
      </c>
      <c r="E11" s="15" t="s">
        <v>181</v>
      </c>
      <c r="F11" s="15" t="s">
        <v>182</v>
      </c>
      <c r="G11" s="15" t="s">
        <v>183</v>
      </c>
      <c r="H11" s="15" t="s">
        <v>6</v>
      </c>
      <c r="I11" s="15" t="s">
        <v>71</v>
      </c>
      <c r="J11" s="15" t="s">
        <v>63</v>
      </c>
      <c r="K11" s="15" t="s">
        <v>4</v>
      </c>
      <c r="L11" s="15" t="s">
        <v>184</v>
      </c>
    </row>
    <row r="12" spans="1:12" s="16" customFormat="1" x14ac:dyDescent="0.3">
      <c r="A12" s="16" t="s">
        <v>185</v>
      </c>
      <c r="B12" s="16" t="s">
        <v>20</v>
      </c>
      <c r="C12" s="16" t="s">
        <v>186</v>
      </c>
      <c r="D12" s="16" t="s">
        <v>180</v>
      </c>
      <c r="E12" s="16" t="s">
        <v>187</v>
      </c>
      <c r="F12" s="16" t="s">
        <v>182</v>
      </c>
      <c r="G12" s="16" t="s">
        <v>188</v>
      </c>
      <c r="H12" s="16" t="s">
        <v>98</v>
      </c>
      <c r="I12" s="16" t="s">
        <v>71</v>
      </c>
      <c r="J12" s="16" t="s">
        <v>63</v>
      </c>
      <c r="K12" s="16" t="s">
        <v>4</v>
      </c>
      <c r="L12" s="16" t="s">
        <v>189</v>
      </c>
    </row>
    <row r="13" spans="1:12" s="16" customFormat="1" x14ac:dyDescent="0.3"/>
    <row r="14" spans="1:12" s="16" customFormat="1" x14ac:dyDescent="0.3"/>
    <row r="15" spans="1:12" s="16" customFormat="1" x14ac:dyDescent="0.3"/>
    <row r="16" spans="1:12" s="16" customFormat="1" x14ac:dyDescent="0.3"/>
    <row r="17" s="16" customFormat="1" x14ac:dyDescent="0.3"/>
    <row r="18" s="16" customFormat="1" x14ac:dyDescent="0.3"/>
    <row r="19" s="16" customFormat="1" x14ac:dyDescent="0.3"/>
    <row r="20" s="16" customFormat="1" x14ac:dyDescent="0.3"/>
    <row r="21" s="16" customFormat="1" x14ac:dyDescent="0.3"/>
    <row r="22" s="16" customFormat="1" x14ac:dyDescent="0.3"/>
  </sheetData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workbookViewId="0">
      <selection activeCell="D8" sqref="A1:XFD1048576"/>
    </sheetView>
  </sheetViews>
  <sheetFormatPr defaultRowHeight="14.4" x14ac:dyDescent="0.3"/>
  <cols>
    <col min="1" max="1" width="11" bestFit="1" customWidth="1"/>
    <col min="2" max="2" width="11.5546875" bestFit="1" customWidth="1"/>
    <col min="3" max="3" width="76.109375" bestFit="1" customWidth="1"/>
    <col min="4" max="4" width="60.44140625" bestFit="1" customWidth="1"/>
    <col min="5" max="5" width="63.5546875" bestFit="1" customWidth="1"/>
    <col min="6" max="6" width="33.44140625" bestFit="1" customWidth="1"/>
    <col min="7" max="7" width="69.5546875" bestFit="1" customWidth="1"/>
    <col min="8" max="8" width="8.2187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22.44140625" bestFit="1" customWidth="1"/>
  </cols>
  <sheetData>
    <row r="1" spans="1:12" ht="15.6" x14ac:dyDescent="0.3">
      <c r="A1" s="22" t="s">
        <v>190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43.2" x14ac:dyDescent="0.3">
      <c r="A5" s="15" t="s">
        <v>191</v>
      </c>
      <c r="B5" s="15" t="s">
        <v>22</v>
      </c>
      <c r="C5" s="15" t="s">
        <v>192</v>
      </c>
      <c r="D5" s="15" t="s">
        <v>193</v>
      </c>
      <c r="E5" s="15" t="s">
        <v>194</v>
      </c>
      <c r="F5" s="15" t="s">
        <v>195</v>
      </c>
      <c r="G5" s="15" t="s">
        <v>196</v>
      </c>
      <c r="H5" s="15" t="s">
        <v>98</v>
      </c>
      <c r="I5" s="15" t="s">
        <v>62</v>
      </c>
      <c r="J5" s="15" t="s">
        <v>63</v>
      </c>
      <c r="K5" s="15" t="s">
        <v>4</v>
      </c>
      <c r="L5" s="15" t="s">
        <v>197</v>
      </c>
    </row>
    <row r="6" spans="1:12" s="16" customFormat="1" ht="28.8" x14ac:dyDescent="0.3">
      <c r="A6" s="15" t="s">
        <v>198</v>
      </c>
      <c r="B6" s="15" t="s">
        <v>22</v>
      </c>
      <c r="C6" s="15" t="s">
        <v>199</v>
      </c>
      <c r="D6" s="15" t="s">
        <v>200</v>
      </c>
      <c r="E6" s="15" t="s">
        <v>201</v>
      </c>
      <c r="F6" s="15" t="s">
        <v>202</v>
      </c>
      <c r="G6" s="15" t="s">
        <v>203</v>
      </c>
      <c r="H6" s="15" t="s">
        <v>6</v>
      </c>
      <c r="I6" s="15" t="s">
        <v>62</v>
      </c>
      <c r="J6" s="15" t="s">
        <v>63</v>
      </c>
      <c r="K6" s="15" t="s">
        <v>4</v>
      </c>
      <c r="L6" s="15" t="s">
        <v>204</v>
      </c>
    </row>
    <row r="7" spans="1:12" s="16" customFormat="1" x14ac:dyDescent="0.3">
      <c r="A7" s="15" t="s">
        <v>205</v>
      </c>
      <c r="B7" s="15" t="s">
        <v>22</v>
      </c>
      <c r="C7" s="15" t="s">
        <v>206</v>
      </c>
      <c r="D7" s="15" t="s">
        <v>207</v>
      </c>
      <c r="E7" s="15" t="s">
        <v>208</v>
      </c>
      <c r="F7" s="15" t="s">
        <v>209</v>
      </c>
      <c r="G7" s="15" t="s">
        <v>210</v>
      </c>
      <c r="H7" s="15" t="s">
        <v>6</v>
      </c>
      <c r="I7" s="15" t="s">
        <v>71</v>
      </c>
      <c r="J7" s="15" t="s">
        <v>63</v>
      </c>
      <c r="K7" s="15" t="s">
        <v>4</v>
      </c>
      <c r="L7" s="15" t="s">
        <v>211</v>
      </c>
    </row>
    <row r="8" spans="1:12" s="16" customFormat="1" ht="28.8" x14ac:dyDescent="0.3">
      <c r="A8" s="15" t="s">
        <v>212</v>
      </c>
      <c r="B8" s="15" t="s">
        <v>22</v>
      </c>
      <c r="C8" s="15" t="s">
        <v>213</v>
      </c>
      <c r="D8" s="15" t="s">
        <v>214</v>
      </c>
      <c r="E8" s="15" t="s">
        <v>215</v>
      </c>
      <c r="F8" s="15" t="s">
        <v>216</v>
      </c>
      <c r="G8" s="15" t="s">
        <v>217</v>
      </c>
      <c r="H8" s="15" t="s">
        <v>6</v>
      </c>
      <c r="I8" s="15" t="s">
        <v>71</v>
      </c>
      <c r="J8" s="15" t="s">
        <v>63</v>
      </c>
      <c r="K8" s="15" t="s">
        <v>4</v>
      </c>
      <c r="L8" s="15" t="s">
        <v>218</v>
      </c>
    </row>
    <row r="9" spans="1:12" s="16" customFormat="1" ht="28.8" x14ac:dyDescent="0.3">
      <c r="A9" s="15" t="s">
        <v>219</v>
      </c>
      <c r="B9" s="15" t="s">
        <v>22</v>
      </c>
      <c r="C9" s="15" t="s">
        <v>220</v>
      </c>
      <c r="D9" s="15" t="s">
        <v>221</v>
      </c>
      <c r="E9" s="15" t="s">
        <v>222</v>
      </c>
      <c r="F9" s="15" t="s">
        <v>223</v>
      </c>
      <c r="G9" s="15" t="s">
        <v>224</v>
      </c>
      <c r="H9" s="15" t="s">
        <v>98</v>
      </c>
      <c r="I9" s="15" t="s">
        <v>71</v>
      </c>
      <c r="J9" s="15" t="s">
        <v>63</v>
      </c>
      <c r="K9" s="15" t="s">
        <v>4</v>
      </c>
      <c r="L9" s="15" t="s">
        <v>225</v>
      </c>
    </row>
    <row r="10" spans="1:12" s="16" customFormat="1" x14ac:dyDescent="0.3">
      <c r="A10" s="15" t="s">
        <v>226</v>
      </c>
      <c r="B10" s="15" t="s">
        <v>22</v>
      </c>
      <c r="C10" s="15" t="s">
        <v>227</v>
      </c>
      <c r="D10" s="15" t="s">
        <v>228</v>
      </c>
      <c r="E10" s="15" t="s">
        <v>229</v>
      </c>
      <c r="F10" s="15" t="s">
        <v>230</v>
      </c>
      <c r="G10" s="15" t="s">
        <v>231</v>
      </c>
      <c r="H10" s="15" t="s">
        <v>98</v>
      </c>
      <c r="I10" s="15" t="s">
        <v>71</v>
      </c>
      <c r="J10" s="15" t="s">
        <v>63</v>
      </c>
      <c r="K10" s="15" t="s">
        <v>4</v>
      </c>
      <c r="L10" s="15" t="s">
        <v>232</v>
      </c>
    </row>
    <row r="11" spans="1:12" s="16" customFormat="1" x14ac:dyDescent="0.3">
      <c r="A11" s="15" t="s">
        <v>233</v>
      </c>
      <c r="B11" s="15" t="s">
        <v>22</v>
      </c>
      <c r="C11" s="15" t="s">
        <v>234</v>
      </c>
      <c r="D11" s="15" t="s">
        <v>235</v>
      </c>
      <c r="E11" s="15" t="s">
        <v>236</v>
      </c>
      <c r="F11" s="15" t="s">
        <v>202</v>
      </c>
      <c r="G11" s="15" t="s">
        <v>237</v>
      </c>
      <c r="H11" s="15" t="s">
        <v>135</v>
      </c>
      <c r="I11" s="15" t="s">
        <v>62</v>
      </c>
      <c r="J11" s="15" t="s">
        <v>63</v>
      </c>
      <c r="K11" s="15" t="s">
        <v>4</v>
      </c>
      <c r="L11" s="15" t="s">
        <v>238</v>
      </c>
    </row>
    <row r="12" spans="1:12" s="16" customFormat="1" x14ac:dyDescent="0.3">
      <c r="A12" s="16" t="s">
        <v>239</v>
      </c>
      <c r="B12" s="16" t="s">
        <v>22</v>
      </c>
      <c r="C12" s="16" t="s">
        <v>240</v>
      </c>
      <c r="D12" s="16" t="s">
        <v>241</v>
      </c>
      <c r="E12" s="16" t="s">
        <v>242</v>
      </c>
      <c r="F12" s="16" t="s">
        <v>243</v>
      </c>
      <c r="G12" s="16" t="s">
        <v>244</v>
      </c>
      <c r="H12" s="16" t="s">
        <v>98</v>
      </c>
      <c r="I12" s="16" t="s">
        <v>245</v>
      </c>
      <c r="J12" s="16" t="s">
        <v>99</v>
      </c>
      <c r="K12" s="16" t="s">
        <v>4</v>
      </c>
      <c r="L12" s="16" t="s">
        <v>246</v>
      </c>
    </row>
    <row r="13" spans="1:12" s="16" customFormat="1" x14ac:dyDescent="0.3">
      <c r="A13" s="16" t="s">
        <v>247</v>
      </c>
      <c r="B13" s="16" t="s">
        <v>22</v>
      </c>
      <c r="C13" s="16" t="s">
        <v>248</v>
      </c>
      <c r="D13" s="16" t="s">
        <v>249</v>
      </c>
      <c r="E13" s="16" t="s">
        <v>250</v>
      </c>
      <c r="F13" s="16" t="s">
        <v>251</v>
      </c>
      <c r="G13" s="16" t="s">
        <v>252</v>
      </c>
      <c r="H13" s="16" t="s">
        <v>6</v>
      </c>
      <c r="I13" s="16" t="s">
        <v>71</v>
      </c>
      <c r="J13" s="16" t="s">
        <v>99</v>
      </c>
      <c r="K13" s="16" t="s">
        <v>4</v>
      </c>
      <c r="L13" s="16" t="s">
        <v>253</v>
      </c>
    </row>
    <row r="14" spans="1:12" s="16" customFormat="1" x14ac:dyDescent="0.3">
      <c r="A14" s="16" t="s">
        <v>254</v>
      </c>
      <c r="B14" s="16" t="s">
        <v>22</v>
      </c>
      <c r="C14" s="16" t="s">
        <v>255</v>
      </c>
      <c r="D14" s="16" t="s">
        <v>256</v>
      </c>
      <c r="E14" s="16" t="s">
        <v>257</v>
      </c>
      <c r="F14" s="16" t="s">
        <v>258</v>
      </c>
      <c r="G14" s="16" t="s">
        <v>259</v>
      </c>
      <c r="H14" s="16" t="s">
        <v>98</v>
      </c>
      <c r="I14" s="16" t="s">
        <v>62</v>
      </c>
      <c r="J14" s="16" t="s">
        <v>99</v>
      </c>
      <c r="K14" s="16" t="s">
        <v>4</v>
      </c>
      <c r="L14" s="16" t="s">
        <v>260</v>
      </c>
    </row>
    <row r="15" spans="1:12" s="16" customFormat="1" x14ac:dyDescent="0.3">
      <c r="A15" s="16" t="s">
        <v>261</v>
      </c>
      <c r="B15" s="16" t="s">
        <v>22</v>
      </c>
      <c r="C15" s="16" t="s">
        <v>262</v>
      </c>
      <c r="D15" s="16" t="s">
        <v>263</v>
      </c>
      <c r="E15" s="16" t="s">
        <v>264</v>
      </c>
      <c r="F15" s="16" t="s">
        <v>265</v>
      </c>
      <c r="G15" s="16" t="s">
        <v>266</v>
      </c>
      <c r="H15" s="16" t="s">
        <v>6</v>
      </c>
      <c r="I15" s="16" t="s">
        <v>176</v>
      </c>
      <c r="J15" s="16" t="s">
        <v>63</v>
      </c>
      <c r="K15" s="16" t="s">
        <v>4</v>
      </c>
      <c r="L15" s="16" t="s">
        <v>267</v>
      </c>
    </row>
    <row r="16" spans="1:12" s="16" customFormat="1" x14ac:dyDescent="0.3">
      <c r="A16" s="16" t="s">
        <v>268</v>
      </c>
      <c r="B16" s="16" t="s">
        <v>22</v>
      </c>
      <c r="C16" s="16" t="s">
        <v>269</v>
      </c>
      <c r="D16" s="16" t="s">
        <v>270</v>
      </c>
      <c r="E16" s="16" t="s">
        <v>271</v>
      </c>
      <c r="F16" s="16" t="s">
        <v>272</v>
      </c>
      <c r="G16" s="16" t="s">
        <v>273</v>
      </c>
      <c r="H16" s="16" t="s">
        <v>6</v>
      </c>
      <c r="I16" s="16" t="s">
        <v>71</v>
      </c>
      <c r="J16" s="16" t="s">
        <v>99</v>
      </c>
      <c r="K16" s="16" t="s">
        <v>4</v>
      </c>
      <c r="L16" s="16" t="s">
        <v>274</v>
      </c>
    </row>
    <row r="17" s="16" customFormat="1" x14ac:dyDescent="0.3"/>
    <row r="18" s="16" customFormat="1" x14ac:dyDescent="0.3"/>
  </sheetData>
  <mergeCells count="2">
    <mergeCell ref="A2:L2"/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topLeftCell="D1" workbookViewId="0">
      <selection activeCell="D5" sqref="A1:XFD1048576"/>
    </sheetView>
  </sheetViews>
  <sheetFormatPr defaultColWidth="24.109375" defaultRowHeight="14.4" x14ac:dyDescent="0.3"/>
  <cols>
    <col min="1" max="1" width="10.5546875" bestFit="1" customWidth="1"/>
    <col min="2" max="2" width="20.44140625" bestFit="1" customWidth="1"/>
    <col min="3" max="3" width="58" bestFit="1" customWidth="1"/>
    <col min="4" max="4" width="36.21875" bestFit="1" customWidth="1"/>
    <col min="5" max="5" width="87.21875" bestFit="1" customWidth="1"/>
    <col min="6" max="6" width="34.44140625" bestFit="1" customWidth="1"/>
    <col min="7" max="7" width="57.44140625" bestFit="1" customWidth="1"/>
    <col min="8" max="8" width="8.21875" bestFit="1" customWidth="1"/>
    <col min="9" max="9" width="8.77734375" bestFit="1" customWidth="1"/>
    <col min="10" max="10" width="20.77734375" bestFit="1" customWidth="1"/>
    <col min="11" max="11" width="7.88671875" bestFit="1" customWidth="1"/>
    <col min="12" max="12" width="20.5546875" bestFit="1" customWidth="1"/>
  </cols>
  <sheetData>
    <row r="1" spans="1:12" ht="15.6" x14ac:dyDescent="0.3">
      <c r="A1" s="22" t="s">
        <v>275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57.6" x14ac:dyDescent="0.3">
      <c r="A5" s="15" t="s">
        <v>276</v>
      </c>
      <c r="B5" s="15" t="s">
        <v>24</v>
      </c>
      <c r="C5" s="15" t="s">
        <v>277</v>
      </c>
      <c r="D5" s="15" t="s">
        <v>193</v>
      </c>
      <c r="E5" s="15" t="s">
        <v>278</v>
      </c>
      <c r="F5" s="15" t="s">
        <v>279</v>
      </c>
      <c r="G5" s="15" t="s">
        <v>280</v>
      </c>
      <c r="H5" s="15" t="s">
        <v>98</v>
      </c>
      <c r="I5" s="15" t="s">
        <v>62</v>
      </c>
      <c r="J5" s="15" t="s">
        <v>63</v>
      </c>
      <c r="K5" s="15" t="s">
        <v>4</v>
      </c>
      <c r="L5" s="15" t="s">
        <v>281</v>
      </c>
    </row>
    <row r="6" spans="1:12" s="16" customFormat="1" ht="28.8" x14ac:dyDescent="0.3">
      <c r="A6" s="15" t="s">
        <v>282</v>
      </c>
      <c r="B6" s="15" t="s">
        <v>24</v>
      </c>
      <c r="C6" s="15" t="s">
        <v>283</v>
      </c>
      <c r="D6" s="15" t="s">
        <v>284</v>
      </c>
      <c r="E6" s="15" t="s">
        <v>285</v>
      </c>
      <c r="F6" s="15" t="s">
        <v>279</v>
      </c>
      <c r="G6" s="15" t="s">
        <v>286</v>
      </c>
      <c r="H6" s="15" t="s">
        <v>6</v>
      </c>
      <c r="I6" s="15" t="s">
        <v>62</v>
      </c>
      <c r="J6" s="15" t="s">
        <v>63</v>
      </c>
      <c r="K6" s="15" t="s">
        <v>4</v>
      </c>
      <c r="L6" s="15" t="s">
        <v>287</v>
      </c>
    </row>
    <row r="7" spans="1:12" s="16" customFormat="1" ht="28.8" x14ac:dyDescent="0.3">
      <c r="A7" s="15" t="s">
        <v>288</v>
      </c>
      <c r="B7" s="15" t="s">
        <v>24</v>
      </c>
      <c r="C7" s="15" t="s">
        <v>289</v>
      </c>
      <c r="D7" s="15" t="s">
        <v>284</v>
      </c>
      <c r="E7" s="15" t="s">
        <v>290</v>
      </c>
      <c r="F7" s="15" t="s">
        <v>291</v>
      </c>
      <c r="G7" s="15" t="s">
        <v>292</v>
      </c>
      <c r="H7" s="15" t="s">
        <v>6</v>
      </c>
      <c r="I7" s="15" t="s">
        <v>71</v>
      </c>
      <c r="J7" s="15" t="s">
        <v>63</v>
      </c>
      <c r="K7" s="15" t="s">
        <v>4</v>
      </c>
      <c r="L7" s="15" t="s">
        <v>293</v>
      </c>
    </row>
    <row r="8" spans="1:12" s="16" customFormat="1" ht="28.8" x14ac:dyDescent="0.3">
      <c r="A8" s="15" t="s">
        <v>294</v>
      </c>
      <c r="B8" s="15" t="s">
        <v>24</v>
      </c>
      <c r="C8" s="15" t="s">
        <v>295</v>
      </c>
      <c r="D8" s="15" t="s">
        <v>296</v>
      </c>
      <c r="E8" s="15" t="s">
        <v>297</v>
      </c>
      <c r="F8" s="15" t="s">
        <v>298</v>
      </c>
      <c r="G8" s="15" t="s">
        <v>299</v>
      </c>
      <c r="H8" s="15" t="s">
        <v>98</v>
      </c>
      <c r="I8" s="15" t="s">
        <v>71</v>
      </c>
      <c r="J8" s="15" t="s">
        <v>63</v>
      </c>
      <c r="K8" s="15" t="s">
        <v>4</v>
      </c>
      <c r="L8" s="15" t="s">
        <v>225</v>
      </c>
    </row>
    <row r="9" spans="1:12" s="16" customFormat="1" ht="28.8" x14ac:dyDescent="0.3">
      <c r="A9" s="15" t="s">
        <v>300</v>
      </c>
      <c r="B9" s="15" t="s">
        <v>24</v>
      </c>
      <c r="C9" s="15" t="s">
        <v>301</v>
      </c>
      <c r="D9" s="15" t="s">
        <v>284</v>
      </c>
      <c r="E9" s="15" t="s">
        <v>302</v>
      </c>
      <c r="F9" s="15" t="s">
        <v>303</v>
      </c>
      <c r="G9" s="15" t="s">
        <v>304</v>
      </c>
      <c r="H9" s="15" t="s">
        <v>135</v>
      </c>
      <c r="I9" s="15" t="s">
        <v>71</v>
      </c>
      <c r="J9" s="15" t="s">
        <v>63</v>
      </c>
      <c r="K9" s="15" t="s">
        <v>4</v>
      </c>
      <c r="L9" s="15" t="s">
        <v>305</v>
      </c>
    </row>
    <row r="10" spans="1:12" s="16" customFormat="1" ht="43.2" x14ac:dyDescent="0.3">
      <c r="A10" s="15" t="s">
        <v>306</v>
      </c>
      <c r="B10" s="15" t="s">
        <v>24</v>
      </c>
      <c r="C10" s="15" t="s">
        <v>307</v>
      </c>
      <c r="D10" s="15" t="s">
        <v>131</v>
      </c>
      <c r="E10" s="15" t="s">
        <v>308</v>
      </c>
      <c r="F10" s="15" t="s">
        <v>309</v>
      </c>
      <c r="G10" s="15" t="s">
        <v>310</v>
      </c>
      <c r="H10" s="15" t="s">
        <v>6</v>
      </c>
      <c r="I10" s="15" t="s">
        <v>71</v>
      </c>
      <c r="J10" s="15" t="s">
        <v>63</v>
      </c>
      <c r="K10" s="15" t="s">
        <v>4</v>
      </c>
      <c r="L10" s="15" t="s">
        <v>311</v>
      </c>
    </row>
    <row r="11" spans="1:12" s="16" customFormat="1" ht="28.8" x14ac:dyDescent="0.3">
      <c r="A11" s="15" t="s">
        <v>312</v>
      </c>
      <c r="B11" s="15" t="s">
        <v>24</v>
      </c>
      <c r="C11" s="15" t="s">
        <v>313</v>
      </c>
      <c r="D11" s="15" t="s">
        <v>314</v>
      </c>
      <c r="E11" s="15" t="s">
        <v>315</v>
      </c>
      <c r="F11" s="15" t="s">
        <v>316</v>
      </c>
      <c r="G11" s="15" t="s">
        <v>317</v>
      </c>
      <c r="H11" s="15" t="s">
        <v>98</v>
      </c>
      <c r="I11" s="15" t="s">
        <v>71</v>
      </c>
      <c r="J11" s="15" t="s">
        <v>63</v>
      </c>
      <c r="K11" s="15" t="s">
        <v>4</v>
      </c>
      <c r="L11" s="15" t="s">
        <v>232</v>
      </c>
    </row>
    <row r="12" spans="1:12" s="16" customFormat="1" x14ac:dyDescent="0.3">
      <c r="A12" s="16" t="s">
        <v>318</v>
      </c>
      <c r="B12" s="16" t="s">
        <v>24</v>
      </c>
      <c r="C12" s="16" t="s">
        <v>319</v>
      </c>
      <c r="D12" s="16" t="s">
        <v>320</v>
      </c>
      <c r="E12" s="16" t="s">
        <v>321</v>
      </c>
      <c r="F12" s="16" t="s">
        <v>279</v>
      </c>
      <c r="G12" s="16" t="s">
        <v>322</v>
      </c>
      <c r="H12" s="16" t="s">
        <v>135</v>
      </c>
      <c r="I12" s="16" t="s">
        <v>62</v>
      </c>
      <c r="J12" s="16" t="s">
        <v>63</v>
      </c>
      <c r="K12" s="16" t="s">
        <v>4</v>
      </c>
      <c r="L12" s="16" t="s">
        <v>238</v>
      </c>
    </row>
    <row r="13" spans="1:12" s="16" customFormat="1" x14ac:dyDescent="0.3">
      <c r="A13" s="16" t="s">
        <v>323</v>
      </c>
      <c r="B13" s="16" t="s">
        <v>24</v>
      </c>
      <c r="C13" s="16" t="s">
        <v>324</v>
      </c>
      <c r="D13" s="16" t="s">
        <v>325</v>
      </c>
      <c r="E13" s="16" t="s">
        <v>326</v>
      </c>
      <c r="F13" s="16" t="s">
        <v>243</v>
      </c>
      <c r="G13" s="16" t="s">
        <v>327</v>
      </c>
      <c r="H13" s="16" t="s">
        <v>98</v>
      </c>
      <c r="I13" s="16" t="s">
        <v>245</v>
      </c>
      <c r="J13" s="16" t="s">
        <v>99</v>
      </c>
      <c r="K13" s="16" t="s">
        <v>4</v>
      </c>
      <c r="L13" s="16" t="s">
        <v>328</v>
      </c>
    </row>
    <row r="14" spans="1:12" s="16" customFormat="1" x14ac:dyDescent="0.3">
      <c r="A14" s="16" t="s">
        <v>329</v>
      </c>
      <c r="B14" s="16" t="s">
        <v>24</v>
      </c>
      <c r="C14" s="16" t="s">
        <v>330</v>
      </c>
      <c r="D14" s="16" t="s">
        <v>331</v>
      </c>
      <c r="E14" s="16" t="s">
        <v>332</v>
      </c>
      <c r="F14" s="16" t="s">
        <v>333</v>
      </c>
      <c r="G14" s="16" t="s">
        <v>334</v>
      </c>
      <c r="H14" s="16" t="s">
        <v>98</v>
      </c>
      <c r="I14" s="16" t="s">
        <v>62</v>
      </c>
      <c r="J14" s="16" t="s">
        <v>99</v>
      </c>
      <c r="K14" s="16" t="s">
        <v>4</v>
      </c>
      <c r="L14" s="16" t="s">
        <v>335</v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showGridLines="0" topLeftCell="D1" workbookViewId="0">
      <selection activeCell="G6" sqref="A1:XFD1048576"/>
    </sheetView>
  </sheetViews>
  <sheetFormatPr defaultRowHeight="14.4" x14ac:dyDescent="0.3"/>
  <cols>
    <col min="1" max="1" width="10.6640625" bestFit="1" customWidth="1"/>
    <col min="2" max="2" width="8.88671875" bestFit="1" customWidth="1"/>
    <col min="3" max="3" width="28" customWidth="1"/>
    <col min="4" max="4" width="23.88671875" bestFit="1" customWidth="1"/>
    <col min="5" max="5" width="40.6640625" bestFit="1" customWidth="1"/>
    <col min="6" max="6" width="23.109375" bestFit="1" customWidth="1"/>
    <col min="7" max="7" width="32.109375" bestFit="1" customWidth="1"/>
    <col min="8" max="8" width="8.21875" bestFit="1" customWidth="1"/>
    <col min="9" max="9" width="10.44140625" bestFit="1" customWidth="1"/>
    <col min="10" max="10" width="11.21875" bestFit="1" customWidth="1"/>
    <col min="11" max="11" width="7.88671875" bestFit="1" customWidth="1"/>
    <col min="12" max="12" width="19.88671875" bestFit="1" customWidth="1"/>
  </cols>
  <sheetData>
    <row r="1" spans="1:12" ht="15.6" x14ac:dyDescent="0.3">
      <c r="A1" s="22" t="s">
        <v>336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28.8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43.2" x14ac:dyDescent="0.3">
      <c r="A5" s="15" t="s">
        <v>337</v>
      </c>
      <c r="B5" s="15" t="s">
        <v>26</v>
      </c>
      <c r="C5" s="15" t="s">
        <v>338</v>
      </c>
      <c r="D5" s="15" t="s">
        <v>339</v>
      </c>
      <c r="E5" s="15" t="s">
        <v>340</v>
      </c>
      <c r="F5" s="15" t="s">
        <v>341</v>
      </c>
      <c r="G5" s="15" t="s">
        <v>342</v>
      </c>
      <c r="H5" s="15" t="s">
        <v>6</v>
      </c>
      <c r="I5" s="15" t="s">
        <v>62</v>
      </c>
      <c r="J5" s="15" t="s">
        <v>63</v>
      </c>
      <c r="K5" s="15" t="s">
        <v>4</v>
      </c>
      <c r="L5" s="15" t="s">
        <v>343</v>
      </c>
    </row>
    <row r="6" spans="1:12" s="16" customFormat="1" ht="43.2" x14ac:dyDescent="0.3">
      <c r="A6" s="15" t="s">
        <v>344</v>
      </c>
      <c r="B6" s="15" t="s">
        <v>26</v>
      </c>
      <c r="C6" s="15" t="s">
        <v>345</v>
      </c>
      <c r="D6" s="15" t="s">
        <v>346</v>
      </c>
      <c r="E6" s="15" t="s">
        <v>347</v>
      </c>
      <c r="F6" s="15" t="s">
        <v>348</v>
      </c>
      <c r="G6" s="15" t="s">
        <v>349</v>
      </c>
      <c r="H6" s="15" t="s">
        <v>6</v>
      </c>
      <c r="I6" s="15" t="s">
        <v>62</v>
      </c>
      <c r="J6" s="15" t="s">
        <v>63</v>
      </c>
      <c r="K6" s="15" t="s">
        <v>4</v>
      </c>
      <c r="L6" s="15" t="s">
        <v>350</v>
      </c>
    </row>
    <row r="7" spans="1:12" s="16" customFormat="1" ht="28.8" x14ac:dyDescent="0.3">
      <c r="A7" s="15" t="s">
        <v>351</v>
      </c>
      <c r="B7" s="15" t="s">
        <v>26</v>
      </c>
      <c r="C7" s="15" t="s">
        <v>352</v>
      </c>
      <c r="D7" s="15" t="s">
        <v>353</v>
      </c>
      <c r="E7" s="15" t="s">
        <v>354</v>
      </c>
      <c r="F7" s="15" t="s">
        <v>355</v>
      </c>
      <c r="G7" s="15" t="s">
        <v>356</v>
      </c>
      <c r="H7" s="15" t="s">
        <v>6</v>
      </c>
      <c r="I7" s="15" t="s">
        <v>71</v>
      </c>
      <c r="J7" s="15" t="s">
        <v>63</v>
      </c>
      <c r="K7" s="15" t="s">
        <v>4</v>
      </c>
      <c r="L7" s="15" t="s">
        <v>357</v>
      </c>
    </row>
    <row r="8" spans="1:12" s="16" customFormat="1" ht="43.2" x14ac:dyDescent="0.3">
      <c r="A8" s="15" t="s">
        <v>358</v>
      </c>
      <c r="B8" s="15" t="s">
        <v>26</v>
      </c>
      <c r="C8" s="15" t="s">
        <v>359</v>
      </c>
      <c r="D8" s="15" t="s">
        <v>360</v>
      </c>
      <c r="E8" s="15" t="s">
        <v>361</v>
      </c>
      <c r="F8" s="15" t="s">
        <v>362</v>
      </c>
      <c r="G8" s="15" t="s">
        <v>363</v>
      </c>
      <c r="H8" s="15" t="s">
        <v>6</v>
      </c>
      <c r="I8" s="15" t="s">
        <v>176</v>
      </c>
      <c r="J8" s="15" t="s">
        <v>99</v>
      </c>
      <c r="K8" s="15" t="s">
        <v>4</v>
      </c>
      <c r="L8" s="15" t="s">
        <v>364</v>
      </c>
    </row>
    <row r="9" spans="1:12" s="16" customFormat="1" ht="43.2" x14ac:dyDescent="0.3">
      <c r="A9" s="15" t="s">
        <v>365</v>
      </c>
      <c r="B9" s="15" t="s">
        <v>26</v>
      </c>
      <c r="C9" s="15" t="s">
        <v>366</v>
      </c>
      <c r="D9" s="15" t="s">
        <v>367</v>
      </c>
      <c r="E9" s="15" t="s">
        <v>368</v>
      </c>
      <c r="F9" s="15" t="s">
        <v>369</v>
      </c>
      <c r="G9" s="15" t="s">
        <v>370</v>
      </c>
      <c r="H9" s="15" t="s">
        <v>135</v>
      </c>
      <c r="I9" s="15" t="s">
        <v>176</v>
      </c>
      <c r="J9" s="15" t="s">
        <v>99</v>
      </c>
      <c r="K9" s="15" t="s">
        <v>4</v>
      </c>
      <c r="L9" s="15" t="s">
        <v>371</v>
      </c>
    </row>
    <row r="10" spans="1:12" s="16" customFormat="1" ht="28.8" x14ac:dyDescent="0.3">
      <c r="A10" s="15" t="s">
        <v>372</v>
      </c>
      <c r="B10" s="15" t="s">
        <v>26</v>
      </c>
      <c r="C10" s="15" t="s">
        <v>373</v>
      </c>
      <c r="D10" s="15" t="s">
        <v>374</v>
      </c>
      <c r="E10" s="15" t="s">
        <v>375</v>
      </c>
      <c r="F10" s="15" t="s">
        <v>376</v>
      </c>
      <c r="G10" s="15" t="s">
        <v>377</v>
      </c>
      <c r="H10" s="15" t="s">
        <v>135</v>
      </c>
      <c r="I10" s="15" t="s">
        <v>62</v>
      </c>
      <c r="J10" s="15" t="s">
        <v>99</v>
      </c>
      <c r="K10" s="15" t="s">
        <v>4</v>
      </c>
      <c r="L10" s="15" t="s">
        <v>378</v>
      </c>
    </row>
    <row r="11" spans="1:12" s="16" customFormat="1" ht="43.2" x14ac:dyDescent="0.3">
      <c r="A11" s="15" t="s">
        <v>379</v>
      </c>
      <c r="B11" s="15" t="s">
        <v>26</v>
      </c>
      <c r="C11" s="15" t="s">
        <v>380</v>
      </c>
      <c r="D11" s="15" t="s">
        <v>381</v>
      </c>
      <c r="E11" s="15" t="s">
        <v>382</v>
      </c>
      <c r="F11" s="15" t="s">
        <v>383</v>
      </c>
      <c r="G11" s="15" t="s">
        <v>384</v>
      </c>
      <c r="H11" s="15" t="s">
        <v>6</v>
      </c>
      <c r="I11" s="15" t="s">
        <v>62</v>
      </c>
      <c r="J11" s="15" t="s">
        <v>99</v>
      </c>
      <c r="K11" s="15" t="s">
        <v>4</v>
      </c>
      <c r="L11" s="15" t="s">
        <v>385</v>
      </c>
    </row>
    <row r="12" spans="1:12" s="16" customFormat="1" ht="43.2" x14ac:dyDescent="0.3">
      <c r="A12" s="15" t="s">
        <v>386</v>
      </c>
      <c r="B12" s="15" t="s">
        <v>26</v>
      </c>
      <c r="C12" s="15" t="s">
        <v>387</v>
      </c>
      <c r="D12" s="15" t="s">
        <v>388</v>
      </c>
      <c r="E12" s="15" t="s">
        <v>389</v>
      </c>
      <c r="F12" s="15" t="s">
        <v>390</v>
      </c>
      <c r="G12" s="15" t="s">
        <v>391</v>
      </c>
      <c r="H12" s="15" t="s">
        <v>6</v>
      </c>
      <c r="I12" s="15" t="s">
        <v>71</v>
      </c>
      <c r="J12" s="15" t="s">
        <v>99</v>
      </c>
      <c r="K12" s="15" t="s">
        <v>4</v>
      </c>
      <c r="L12" s="15" t="s">
        <v>392</v>
      </c>
    </row>
    <row r="13" spans="1:12" s="16" customFormat="1" ht="43.2" x14ac:dyDescent="0.3">
      <c r="A13" s="15" t="s">
        <v>393</v>
      </c>
      <c r="B13" s="15" t="s">
        <v>26</v>
      </c>
      <c r="C13" s="15" t="s">
        <v>394</v>
      </c>
      <c r="D13" s="15" t="s">
        <v>388</v>
      </c>
      <c r="E13" s="15" t="s">
        <v>395</v>
      </c>
      <c r="F13" s="15" t="s">
        <v>396</v>
      </c>
      <c r="G13" s="15" t="s">
        <v>397</v>
      </c>
      <c r="H13" s="15" t="s">
        <v>6</v>
      </c>
      <c r="I13" s="15" t="s">
        <v>62</v>
      </c>
      <c r="J13" s="15" t="s">
        <v>99</v>
      </c>
      <c r="K13" s="15" t="s">
        <v>4</v>
      </c>
      <c r="L13" s="15" t="s">
        <v>398</v>
      </c>
    </row>
    <row r="14" spans="1:12" s="16" customFormat="1" ht="43.2" x14ac:dyDescent="0.3">
      <c r="A14" s="15" t="s">
        <v>399</v>
      </c>
      <c r="B14" s="15" t="s">
        <v>26</v>
      </c>
      <c r="C14" s="15" t="s">
        <v>400</v>
      </c>
      <c r="D14" s="15" t="s">
        <v>401</v>
      </c>
      <c r="E14" s="15" t="s">
        <v>402</v>
      </c>
      <c r="F14" s="15" t="s">
        <v>403</v>
      </c>
      <c r="G14" s="15" t="s">
        <v>404</v>
      </c>
      <c r="H14" s="15" t="s">
        <v>6</v>
      </c>
      <c r="I14" s="15" t="s">
        <v>127</v>
      </c>
      <c r="J14" s="15" t="s">
        <v>99</v>
      </c>
      <c r="K14" s="15" t="s">
        <v>4</v>
      </c>
      <c r="L14" s="15" t="s">
        <v>405</v>
      </c>
    </row>
    <row r="15" spans="1:12" s="16" customForma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s="16" customForma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s="16" customForma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s="16" customForma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4"/>
    </row>
  </sheetData>
  <mergeCells count="2">
    <mergeCell ref="A2:L2"/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"/>
  <sheetViews>
    <sheetView workbookViewId="0">
      <selection activeCell="A5" sqref="A1:XFD1048576"/>
    </sheetView>
  </sheetViews>
  <sheetFormatPr defaultRowHeight="14.4" x14ac:dyDescent="0.3"/>
  <cols>
    <col min="1" max="1" width="10.44140625" bestFit="1" customWidth="1"/>
    <col min="2" max="2" width="20.5546875" bestFit="1" customWidth="1"/>
    <col min="3" max="3" width="62.6640625" bestFit="1" customWidth="1"/>
    <col min="4" max="4" width="51.77734375" bestFit="1" customWidth="1"/>
    <col min="5" max="5" width="67.109375" bestFit="1" customWidth="1"/>
    <col min="6" max="6" width="34.88671875" bestFit="1" customWidth="1"/>
    <col min="7" max="7" width="52.33203125" bestFit="1" customWidth="1"/>
    <col min="8" max="8" width="8.21875" bestFit="1" customWidth="1"/>
    <col min="9" max="9" width="11.109375" bestFit="1" customWidth="1"/>
    <col min="10" max="10" width="20.77734375" bestFit="1" customWidth="1"/>
    <col min="11" max="11" width="7.88671875" bestFit="1" customWidth="1"/>
    <col min="12" max="12" width="23.21875" bestFit="1" customWidth="1"/>
  </cols>
  <sheetData>
    <row r="1" spans="1:12" ht="15.6" x14ac:dyDescent="0.3">
      <c r="A1" s="22" t="s">
        <v>406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28.8" x14ac:dyDescent="0.3">
      <c r="A5" s="15" t="s">
        <v>407</v>
      </c>
      <c r="B5" s="15" t="s">
        <v>28</v>
      </c>
      <c r="C5" s="15" t="s">
        <v>408</v>
      </c>
      <c r="D5" s="15" t="s">
        <v>131</v>
      </c>
      <c r="E5" s="15" t="s">
        <v>409</v>
      </c>
      <c r="F5" s="15" t="s">
        <v>410</v>
      </c>
      <c r="G5" s="15" t="s">
        <v>411</v>
      </c>
      <c r="H5" s="15" t="s">
        <v>6</v>
      </c>
      <c r="I5" s="15" t="s">
        <v>127</v>
      </c>
      <c r="J5" s="15" t="s">
        <v>63</v>
      </c>
      <c r="K5" s="15" t="s">
        <v>4</v>
      </c>
      <c r="L5" s="15" t="s">
        <v>412</v>
      </c>
    </row>
    <row r="6" spans="1:12" s="16" customFormat="1" ht="28.8" x14ac:dyDescent="0.3">
      <c r="A6" s="15" t="s">
        <v>413</v>
      </c>
      <c r="B6" s="15" t="s">
        <v>28</v>
      </c>
      <c r="C6" s="15" t="s">
        <v>414</v>
      </c>
      <c r="D6" s="15" t="s">
        <v>415</v>
      </c>
      <c r="E6" s="15" t="s">
        <v>416</v>
      </c>
      <c r="F6" s="15" t="s">
        <v>417</v>
      </c>
      <c r="G6" s="15" t="s">
        <v>418</v>
      </c>
      <c r="H6" s="15" t="s">
        <v>98</v>
      </c>
      <c r="I6" s="15" t="s">
        <v>127</v>
      </c>
      <c r="J6" s="15" t="s">
        <v>63</v>
      </c>
      <c r="K6" s="15" t="s">
        <v>4</v>
      </c>
      <c r="L6" s="15" t="s">
        <v>419</v>
      </c>
    </row>
    <row r="7" spans="1:12" s="16" customFormat="1" ht="28.8" x14ac:dyDescent="0.3">
      <c r="A7" s="15" t="s">
        <v>420</v>
      </c>
      <c r="B7" s="15" t="s">
        <v>28</v>
      </c>
      <c r="C7" s="15" t="s">
        <v>421</v>
      </c>
      <c r="D7" s="15" t="s">
        <v>131</v>
      </c>
      <c r="E7" s="15" t="s">
        <v>422</v>
      </c>
      <c r="F7" s="15" t="s">
        <v>423</v>
      </c>
      <c r="G7" s="15" t="s">
        <v>424</v>
      </c>
      <c r="H7" s="15" t="s">
        <v>135</v>
      </c>
      <c r="I7" s="15" t="s">
        <v>127</v>
      </c>
      <c r="J7" s="15" t="s">
        <v>99</v>
      </c>
      <c r="K7" s="15" t="s">
        <v>4</v>
      </c>
      <c r="L7" s="15" t="s">
        <v>425</v>
      </c>
    </row>
    <row r="8" spans="1:12" s="16" customFormat="1" ht="28.8" x14ac:dyDescent="0.3">
      <c r="A8" s="15" t="s">
        <v>426</v>
      </c>
      <c r="B8" s="15" t="s">
        <v>28</v>
      </c>
      <c r="C8" s="15" t="s">
        <v>427</v>
      </c>
      <c r="D8" s="15" t="s">
        <v>428</v>
      </c>
      <c r="E8" s="15" t="s">
        <v>429</v>
      </c>
      <c r="F8" s="15" t="s">
        <v>430</v>
      </c>
      <c r="G8" s="15" t="s">
        <v>431</v>
      </c>
      <c r="H8" s="15" t="s">
        <v>6</v>
      </c>
      <c r="I8" s="15" t="s">
        <v>127</v>
      </c>
      <c r="J8" s="15" t="s">
        <v>99</v>
      </c>
      <c r="K8" s="15" t="s">
        <v>4</v>
      </c>
      <c r="L8" s="15" t="s">
        <v>432</v>
      </c>
    </row>
    <row r="9" spans="1:12" s="16" customFormat="1" ht="28.8" x14ac:dyDescent="0.3">
      <c r="A9" s="15" t="s">
        <v>433</v>
      </c>
      <c r="B9" s="15" t="s">
        <v>28</v>
      </c>
      <c r="C9" s="15" t="s">
        <v>434</v>
      </c>
      <c r="D9" s="15" t="s">
        <v>140</v>
      </c>
      <c r="E9" s="15" t="s">
        <v>435</v>
      </c>
      <c r="F9" s="15" t="s">
        <v>436</v>
      </c>
      <c r="G9" s="15" t="s">
        <v>437</v>
      </c>
      <c r="H9" s="15" t="s">
        <v>98</v>
      </c>
      <c r="I9" s="15" t="s">
        <v>127</v>
      </c>
      <c r="J9" s="15" t="s">
        <v>99</v>
      </c>
      <c r="K9" s="15" t="s">
        <v>4</v>
      </c>
      <c r="L9" s="15" t="s">
        <v>438</v>
      </c>
    </row>
    <row r="10" spans="1:12" s="16" customFormat="1" ht="28.8" x14ac:dyDescent="0.3">
      <c r="A10" s="15" t="s">
        <v>439</v>
      </c>
      <c r="B10" s="15" t="s">
        <v>28</v>
      </c>
      <c r="C10" s="15" t="s">
        <v>440</v>
      </c>
      <c r="D10" s="15" t="s">
        <v>441</v>
      </c>
      <c r="E10" s="15" t="s">
        <v>442</v>
      </c>
      <c r="F10" s="15" t="s">
        <v>182</v>
      </c>
      <c r="G10" s="15" t="s">
        <v>443</v>
      </c>
      <c r="H10" s="15" t="s">
        <v>98</v>
      </c>
      <c r="I10" s="15" t="s">
        <v>71</v>
      </c>
      <c r="J10" s="15" t="s">
        <v>63</v>
      </c>
      <c r="K10" s="15" t="s">
        <v>4</v>
      </c>
      <c r="L10" s="15" t="s">
        <v>444</v>
      </c>
    </row>
    <row r="11" spans="1:12" s="16" customFormat="1" x14ac:dyDescent="0.3">
      <c r="A11" s="16" t="s">
        <v>445</v>
      </c>
      <c r="B11" s="16" t="s">
        <v>28</v>
      </c>
      <c r="C11" s="16" t="s">
        <v>446</v>
      </c>
      <c r="D11" s="16" t="s">
        <v>447</v>
      </c>
      <c r="E11" s="16" t="s">
        <v>448</v>
      </c>
      <c r="F11" s="16" t="s">
        <v>449</v>
      </c>
      <c r="G11" s="16" t="s">
        <v>450</v>
      </c>
      <c r="H11" s="16" t="s">
        <v>6</v>
      </c>
      <c r="I11" s="16" t="s">
        <v>451</v>
      </c>
      <c r="J11" s="16" t="s">
        <v>99</v>
      </c>
      <c r="K11" s="16" t="s">
        <v>4</v>
      </c>
      <c r="L11" s="16" t="s">
        <v>452</v>
      </c>
    </row>
    <row r="12" spans="1:12" s="16" customFormat="1" x14ac:dyDescent="0.3">
      <c r="A12" s="16" t="s">
        <v>453</v>
      </c>
      <c r="B12" s="16" t="s">
        <v>28</v>
      </c>
      <c r="C12" s="16" t="s">
        <v>454</v>
      </c>
      <c r="D12" s="16" t="s">
        <v>455</v>
      </c>
      <c r="E12" s="16" t="s">
        <v>456</v>
      </c>
      <c r="F12" s="16" t="s">
        <v>457</v>
      </c>
      <c r="G12" s="16" t="s">
        <v>458</v>
      </c>
      <c r="H12" s="16" t="s">
        <v>98</v>
      </c>
      <c r="I12" s="16" t="s">
        <v>459</v>
      </c>
      <c r="J12" s="16" t="s">
        <v>99</v>
      </c>
      <c r="K12" s="16" t="s">
        <v>4</v>
      </c>
      <c r="L12" s="16" t="s">
        <v>460</v>
      </c>
    </row>
    <row r="13" spans="1:12" s="16" customFormat="1" x14ac:dyDescent="0.3">
      <c r="A13" s="16" t="s">
        <v>461</v>
      </c>
      <c r="B13" s="16" t="s">
        <v>28</v>
      </c>
      <c r="C13" s="16" t="s">
        <v>462</v>
      </c>
      <c r="D13" s="16" t="s">
        <v>463</v>
      </c>
      <c r="E13" s="16" t="s">
        <v>464</v>
      </c>
      <c r="F13" s="16" t="s">
        <v>465</v>
      </c>
      <c r="G13" s="16" t="s">
        <v>466</v>
      </c>
      <c r="H13" s="16" t="s">
        <v>6</v>
      </c>
      <c r="I13" s="16" t="s">
        <v>127</v>
      </c>
      <c r="J13" s="16" t="s">
        <v>99</v>
      </c>
      <c r="K13" s="16" t="s">
        <v>4</v>
      </c>
      <c r="L13" s="16" t="s">
        <v>467</v>
      </c>
    </row>
    <row r="14" spans="1:12" s="16" customFormat="1" x14ac:dyDescent="0.3"/>
    <row r="15" spans="1:12" s="16" customFormat="1" x14ac:dyDescent="0.3"/>
    <row r="16" spans="1:12" s="16" customFormat="1" x14ac:dyDescent="0.3"/>
    <row r="17" s="16" customFormat="1" x14ac:dyDescent="0.3"/>
    <row r="18" s="16" customFormat="1" x14ac:dyDescent="0.3"/>
    <row r="19" s="16" customFormat="1" x14ac:dyDescent="0.3"/>
    <row r="20" s="16" customFormat="1" x14ac:dyDescent="0.3"/>
    <row r="21" s="16" customFormat="1" x14ac:dyDescent="0.3"/>
    <row r="22" s="16" customFormat="1" x14ac:dyDescent="0.3"/>
    <row r="23" s="16" customFormat="1" x14ac:dyDescent="0.3"/>
    <row r="24" s="16" customFormat="1" x14ac:dyDescent="0.3"/>
    <row r="25" s="16" customFormat="1" x14ac:dyDescent="0.3"/>
    <row r="26" s="16" customFormat="1" x14ac:dyDescent="0.3"/>
    <row r="27" s="16" customFormat="1" x14ac:dyDescent="0.3"/>
    <row r="28" s="16" customFormat="1" x14ac:dyDescent="0.3"/>
    <row r="29" s="16" customFormat="1" x14ac:dyDescent="0.3"/>
    <row r="30" s="16" customFormat="1" x14ac:dyDescent="0.3"/>
    <row r="31" s="16" customFormat="1" x14ac:dyDescent="0.3"/>
    <row r="32" s="16" customFormat="1" x14ac:dyDescent="0.3"/>
    <row r="33" s="16" customFormat="1" x14ac:dyDescent="0.3"/>
    <row r="34" s="16" customFormat="1" x14ac:dyDescent="0.3"/>
    <row r="35" s="16" customFormat="1" x14ac:dyDescent="0.3"/>
    <row r="36" s="16" customFormat="1" x14ac:dyDescent="0.3"/>
    <row r="37" s="16" customFormat="1" x14ac:dyDescent="0.3"/>
    <row r="38" s="16" customFormat="1" x14ac:dyDescent="0.3"/>
    <row r="39" s="16" customFormat="1" x14ac:dyDescent="0.3"/>
    <row r="40" s="16" customFormat="1" x14ac:dyDescent="0.3"/>
    <row r="41" s="16" customFormat="1" x14ac:dyDescent="0.3"/>
    <row r="42" s="16" customFormat="1" x14ac:dyDescent="0.3"/>
    <row r="43" s="16" customFormat="1" x14ac:dyDescent="0.3"/>
    <row r="44" s="16" customFormat="1" x14ac:dyDescent="0.3"/>
    <row r="45" s="16" customFormat="1" x14ac:dyDescent="0.3"/>
  </sheetData>
  <mergeCells count="2">
    <mergeCell ref="A2:L2"/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0"/>
  <sheetViews>
    <sheetView showGridLines="0" workbookViewId="0">
      <selection activeCell="K5" sqref="A1:XFD1048576"/>
    </sheetView>
  </sheetViews>
  <sheetFormatPr defaultRowHeight="14.4" x14ac:dyDescent="0.3"/>
  <cols>
    <col min="1" max="1" width="10.44140625" bestFit="1" customWidth="1"/>
    <col min="2" max="2" width="10.5546875" bestFit="1" customWidth="1"/>
    <col min="3" max="3" width="28" customWidth="1"/>
    <col min="4" max="4" width="23.88671875" bestFit="1" customWidth="1"/>
    <col min="5" max="5" width="32.21875" bestFit="1" customWidth="1"/>
    <col min="6" max="6" width="23.77734375" bestFit="1" customWidth="1"/>
    <col min="7" max="7" width="31.77734375" bestFit="1" customWidth="1"/>
    <col min="8" max="8" width="7.3320312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24" customWidth="1"/>
  </cols>
  <sheetData>
    <row r="1" spans="1:12" ht="15.6" x14ac:dyDescent="0.3">
      <c r="A1" s="22" t="s">
        <v>468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3">
      <c r="A2" s="21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x14ac:dyDescent="0.3">
      <c r="A4" s="4" t="s">
        <v>46</v>
      </c>
      <c r="B4" s="4" t="s">
        <v>12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4" t="s">
        <v>54</v>
      </c>
      <c r="K4" s="4" t="s">
        <v>34</v>
      </c>
      <c r="L4" s="4" t="s">
        <v>55</v>
      </c>
    </row>
    <row r="5" spans="1:12" s="16" customFormat="1" ht="72" x14ac:dyDescent="0.3">
      <c r="A5" s="15" t="s">
        <v>469</v>
      </c>
      <c r="B5" s="15" t="s">
        <v>30</v>
      </c>
      <c r="C5" s="15" t="s">
        <v>470</v>
      </c>
      <c r="D5" s="15" t="s">
        <v>471</v>
      </c>
      <c r="E5" s="15" t="s">
        <v>472</v>
      </c>
      <c r="F5" s="15" t="s">
        <v>473</v>
      </c>
      <c r="G5" s="15" t="s">
        <v>474</v>
      </c>
      <c r="H5" s="15" t="s">
        <v>98</v>
      </c>
      <c r="I5" s="15" t="s">
        <v>62</v>
      </c>
      <c r="J5" s="15" t="s">
        <v>99</v>
      </c>
      <c r="K5" s="15" t="s">
        <v>4</v>
      </c>
      <c r="L5" s="15" t="s">
        <v>475</v>
      </c>
    </row>
    <row r="6" spans="1:12" s="16" customFormat="1" ht="43.2" x14ac:dyDescent="0.3">
      <c r="A6" s="15" t="s">
        <v>476</v>
      </c>
      <c r="B6" s="15" t="s">
        <v>30</v>
      </c>
      <c r="C6" s="15" t="s">
        <v>477</v>
      </c>
      <c r="D6" s="15" t="s">
        <v>478</v>
      </c>
      <c r="E6" s="15" t="s">
        <v>479</v>
      </c>
      <c r="F6" s="15" t="s">
        <v>279</v>
      </c>
      <c r="G6" s="15" t="s">
        <v>480</v>
      </c>
      <c r="H6" s="15" t="s">
        <v>98</v>
      </c>
      <c r="I6" s="15" t="s">
        <v>62</v>
      </c>
      <c r="J6" s="15" t="s">
        <v>63</v>
      </c>
      <c r="K6" s="15" t="s">
        <v>4</v>
      </c>
      <c r="L6" s="15" t="s">
        <v>481</v>
      </c>
    </row>
    <row r="7" spans="1:12" s="16" customFormat="1" ht="57.6" x14ac:dyDescent="0.3">
      <c r="A7" s="15" t="s">
        <v>482</v>
      </c>
      <c r="B7" s="15" t="s">
        <v>30</v>
      </c>
      <c r="C7" s="15" t="s">
        <v>483</v>
      </c>
      <c r="D7" s="15" t="s">
        <v>484</v>
      </c>
      <c r="E7" s="15" t="s">
        <v>485</v>
      </c>
      <c r="F7" s="15" t="s">
        <v>486</v>
      </c>
      <c r="G7" s="15" t="s">
        <v>487</v>
      </c>
      <c r="H7" s="15" t="s">
        <v>98</v>
      </c>
      <c r="I7" s="15" t="s">
        <v>176</v>
      </c>
      <c r="J7" s="15" t="s">
        <v>63</v>
      </c>
      <c r="K7" s="15" t="s">
        <v>4</v>
      </c>
      <c r="L7" s="15" t="s">
        <v>488</v>
      </c>
    </row>
    <row r="8" spans="1:12" s="16" customFormat="1" ht="43.2" x14ac:dyDescent="0.3">
      <c r="A8" s="15" t="s">
        <v>489</v>
      </c>
      <c r="B8" s="15" t="s">
        <v>30</v>
      </c>
      <c r="C8" s="15" t="s">
        <v>490</v>
      </c>
      <c r="D8" s="15" t="s">
        <v>491</v>
      </c>
      <c r="E8" s="15" t="s">
        <v>492</v>
      </c>
      <c r="F8" s="15" t="s">
        <v>493</v>
      </c>
      <c r="G8" s="15" t="s">
        <v>494</v>
      </c>
      <c r="H8" s="15" t="s">
        <v>98</v>
      </c>
      <c r="I8" s="15" t="s">
        <v>71</v>
      </c>
      <c r="J8" s="15" t="s">
        <v>99</v>
      </c>
      <c r="K8" s="15" t="s">
        <v>4</v>
      </c>
      <c r="L8" s="15" t="s">
        <v>495</v>
      </c>
    </row>
    <row r="9" spans="1:12" s="16" customFormat="1" ht="43.2" x14ac:dyDescent="0.3">
      <c r="A9" s="15" t="s">
        <v>496</v>
      </c>
      <c r="B9" s="15" t="s">
        <v>30</v>
      </c>
      <c r="C9" s="15" t="s">
        <v>497</v>
      </c>
      <c r="D9" s="15" t="s">
        <v>180</v>
      </c>
      <c r="E9" s="15" t="s">
        <v>498</v>
      </c>
      <c r="F9" s="15" t="s">
        <v>182</v>
      </c>
      <c r="G9" s="15" t="s">
        <v>499</v>
      </c>
      <c r="H9" s="15" t="s">
        <v>98</v>
      </c>
      <c r="I9" s="15" t="s">
        <v>71</v>
      </c>
      <c r="J9" s="15" t="s">
        <v>63</v>
      </c>
      <c r="K9" s="15" t="s">
        <v>4</v>
      </c>
      <c r="L9" s="15" t="s">
        <v>500</v>
      </c>
    </row>
    <row r="10" spans="1:12" s="16" customFormat="1" ht="43.2" x14ac:dyDescent="0.3">
      <c r="A10" s="15" t="s">
        <v>501</v>
      </c>
      <c r="B10" s="15" t="s">
        <v>30</v>
      </c>
      <c r="C10" s="15" t="s">
        <v>502</v>
      </c>
      <c r="D10" s="15" t="s">
        <v>503</v>
      </c>
      <c r="E10" s="15" t="s">
        <v>504</v>
      </c>
      <c r="F10" s="15" t="s">
        <v>505</v>
      </c>
      <c r="G10" s="15" t="s">
        <v>506</v>
      </c>
      <c r="H10" s="15" t="s">
        <v>6</v>
      </c>
      <c r="I10" s="15" t="s">
        <v>62</v>
      </c>
      <c r="J10" s="15" t="s">
        <v>99</v>
      </c>
      <c r="K10" s="15" t="s">
        <v>4</v>
      </c>
      <c r="L10" s="15" t="s">
        <v>507</v>
      </c>
    </row>
    <row r="11" spans="1:12" s="16" customFormat="1" x14ac:dyDescent="0.3"/>
    <row r="12" spans="1:12" s="16" customFormat="1" x14ac:dyDescent="0.3"/>
    <row r="13" spans="1:12" s="16" customFormat="1" x14ac:dyDescent="0.3"/>
    <row r="14" spans="1:12" s="16" customFormat="1" x14ac:dyDescent="0.3"/>
    <row r="15" spans="1:12" s="16" customFormat="1" x14ac:dyDescent="0.3"/>
    <row r="16" spans="1:12" s="16" customFormat="1" x14ac:dyDescent="0.3"/>
    <row r="17" s="16" customFormat="1" x14ac:dyDescent="0.3"/>
    <row r="18" s="16" customFormat="1" x14ac:dyDescent="0.3"/>
    <row r="19" s="16" customFormat="1" x14ac:dyDescent="0.3"/>
    <row r="20" s="16" customFormat="1" x14ac:dyDescent="0.3"/>
    <row r="21" s="16" customFormat="1" x14ac:dyDescent="0.3"/>
    <row r="22" s="16" customFormat="1" x14ac:dyDescent="0.3"/>
    <row r="23" s="16" customFormat="1" x14ac:dyDescent="0.3"/>
    <row r="24" s="16" customFormat="1" x14ac:dyDescent="0.3"/>
    <row r="25" s="16" customFormat="1" x14ac:dyDescent="0.3"/>
    <row r="26" s="16" customFormat="1" x14ac:dyDescent="0.3"/>
    <row r="27" s="16" customFormat="1" x14ac:dyDescent="0.3"/>
    <row r="28" s="16" customFormat="1" x14ac:dyDescent="0.3"/>
    <row r="29" s="16" customFormat="1" x14ac:dyDescent="0.3"/>
    <row r="30" s="16" customFormat="1" x14ac:dyDescent="0.3"/>
    <row r="31" s="16" customFormat="1" x14ac:dyDescent="0.3"/>
    <row r="32" s="16" customFormat="1" x14ac:dyDescent="0.3"/>
    <row r="33" s="16" customFormat="1" x14ac:dyDescent="0.3"/>
    <row r="34" s="16" customFormat="1" x14ac:dyDescent="0.3"/>
    <row r="35" s="16" customFormat="1" x14ac:dyDescent="0.3"/>
    <row r="36" s="16" customFormat="1" x14ac:dyDescent="0.3"/>
    <row r="37" s="16" customFormat="1" x14ac:dyDescent="0.3"/>
    <row r="38" s="16" customFormat="1" x14ac:dyDescent="0.3"/>
    <row r="39" s="16" customFormat="1" x14ac:dyDescent="0.3"/>
    <row r="40" s="16" customFormat="1" x14ac:dyDescent="0.3"/>
    <row r="41" s="16" customFormat="1" x14ac:dyDescent="0.3"/>
    <row r="42" s="16" customFormat="1" x14ac:dyDescent="0.3"/>
    <row r="43" s="16" customFormat="1" x14ac:dyDescent="0.3"/>
    <row r="44" s="16" customFormat="1" x14ac:dyDescent="0.3"/>
    <row r="45" s="16" customFormat="1" x14ac:dyDescent="0.3"/>
    <row r="46" s="16" customFormat="1" x14ac:dyDescent="0.3"/>
    <row r="47" s="16" customFormat="1" x14ac:dyDescent="0.3"/>
    <row r="48" s="16" customFormat="1" x14ac:dyDescent="0.3"/>
    <row r="49" s="16" customFormat="1" x14ac:dyDescent="0.3"/>
    <row r="50" s="16" customFormat="1" x14ac:dyDescent="0.3"/>
    <row r="51" s="16" customFormat="1" x14ac:dyDescent="0.3"/>
    <row r="52" s="16" customFormat="1" x14ac:dyDescent="0.3"/>
    <row r="53" s="16" customFormat="1" x14ac:dyDescent="0.3"/>
    <row r="54" s="16" customFormat="1" x14ac:dyDescent="0.3"/>
    <row r="55" s="16" customFormat="1" x14ac:dyDescent="0.3"/>
    <row r="56" s="16" customFormat="1" x14ac:dyDescent="0.3"/>
    <row r="57" s="16" customFormat="1" x14ac:dyDescent="0.3"/>
    <row r="58" s="16" customFormat="1" x14ac:dyDescent="0.3"/>
    <row r="59" s="16" customFormat="1" x14ac:dyDescent="0.3"/>
    <row r="60" s="16" customFormat="1" x14ac:dyDescent="0.3"/>
    <row r="61" s="16" customFormat="1" x14ac:dyDescent="0.3"/>
    <row r="62" s="16" customFormat="1" x14ac:dyDescent="0.3"/>
    <row r="63" s="16" customFormat="1" x14ac:dyDescent="0.3"/>
    <row r="64" s="16" customFormat="1" x14ac:dyDescent="0.3"/>
    <row r="65" s="16" customFormat="1" x14ac:dyDescent="0.3"/>
    <row r="66" s="16" customFormat="1" x14ac:dyDescent="0.3"/>
    <row r="67" s="16" customFormat="1" x14ac:dyDescent="0.3"/>
    <row r="68" s="16" customFormat="1" x14ac:dyDescent="0.3"/>
    <row r="69" s="16" customFormat="1" x14ac:dyDescent="0.3"/>
    <row r="70" s="16" customFormat="1" x14ac:dyDescent="0.3"/>
    <row r="71" s="16" customFormat="1" x14ac:dyDescent="0.3"/>
    <row r="72" s="16" customFormat="1" x14ac:dyDescent="0.3"/>
    <row r="73" s="16" customFormat="1" x14ac:dyDescent="0.3"/>
    <row r="74" s="16" customFormat="1" x14ac:dyDescent="0.3"/>
    <row r="75" s="16" customFormat="1" x14ac:dyDescent="0.3"/>
    <row r="76" s="16" customFormat="1" x14ac:dyDescent="0.3"/>
    <row r="77" s="16" customFormat="1" x14ac:dyDescent="0.3"/>
    <row r="78" s="16" customFormat="1" x14ac:dyDescent="0.3"/>
    <row r="79" s="16" customFormat="1" x14ac:dyDescent="0.3"/>
    <row r="80" s="16" customFormat="1" x14ac:dyDescent="0.3"/>
    <row r="81" s="16" customFormat="1" x14ac:dyDescent="0.3"/>
    <row r="82" s="16" customFormat="1" x14ac:dyDescent="0.3"/>
    <row r="83" s="16" customFormat="1" x14ac:dyDescent="0.3"/>
    <row r="84" s="16" customFormat="1" x14ac:dyDescent="0.3"/>
    <row r="85" s="16" customFormat="1" x14ac:dyDescent="0.3"/>
    <row r="86" s="16" customFormat="1" x14ac:dyDescent="0.3"/>
    <row r="87" s="16" customFormat="1" x14ac:dyDescent="0.3"/>
    <row r="88" s="16" customFormat="1" x14ac:dyDescent="0.3"/>
    <row r="89" s="16" customFormat="1" x14ac:dyDescent="0.3"/>
    <row r="90" s="16" customFormat="1" x14ac:dyDescent="0.3"/>
    <row r="91" s="16" customFormat="1" x14ac:dyDescent="0.3"/>
    <row r="92" s="16" customFormat="1" x14ac:dyDescent="0.3"/>
    <row r="93" s="16" customFormat="1" x14ac:dyDescent="0.3"/>
    <row r="94" s="16" customFormat="1" x14ac:dyDescent="0.3"/>
    <row r="95" s="16" customFormat="1" x14ac:dyDescent="0.3"/>
    <row r="96" s="16" customFormat="1" x14ac:dyDescent="0.3"/>
    <row r="97" s="16" customFormat="1" x14ac:dyDescent="0.3"/>
    <row r="98" s="16" customFormat="1" x14ac:dyDescent="0.3"/>
    <row r="99" s="16" customFormat="1" x14ac:dyDescent="0.3"/>
    <row r="100" s="16" customFormat="1" x14ac:dyDescent="0.3"/>
    <row r="101" s="16" customFormat="1" x14ac:dyDescent="0.3"/>
    <row r="102" s="16" customFormat="1" x14ac:dyDescent="0.3"/>
    <row r="103" s="16" customFormat="1" x14ac:dyDescent="0.3"/>
    <row r="104" s="16" customFormat="1" x14ac:dyDescent="0.3"/>
    <row r="105" s="16" customFormat="1" x14ac:dyDescent="0.3"/>
    <row r="106" s="16" customFormat="1" x14ac:dyDescent="0.3"/>
    <row r="107" s="16" customFormat="1" x14ac:dyDescent="0.3"/>
    <row r="108" s="16" customFormat="1" x14ac:dyDescent="0.3"/>
    <row r="109" s="16" customFormat="1" x14ac:dyDescent="0.3"/>
    <row r="110" s="16" customFormat="1" x14ac:dyDescent="0.3"/>
    <row r="111" s="16" customFormat="1" x14ac:dyDescent="0.3"/>
    <row r="112" s="16" customFormat="1" x14ac:dyDescent="0.3"/>
    <row r="113" s="16" customFormat="1" x14ac:dyDescent="0.3"/>
    <row r="114" s="16" customFormat="1" x14ac:dyDescent="0.3"/>
    <row r="115" s="16" customFormat="1" x14ac:dyDescent="0.3"/>
    <row r="116" s="16" customFormat="1" x14ac:dyDescent="0.3"/>
    <row r="117" s="16" customFormat="1" x14ac:dyDescent="0.3"/>
    <row r="118" s="16" customFormat="1" x14ac:dyDescent="0.3"/>
    <row r="119" s="16" customFormat="1" x14ac:dyDescent="0.3"/>
    <row r="120" s="16" customFormat="1" x14ac:dyDescent="0.3"/>
    <row r="121" s="16" customFormat="1" x14ac:dyDescent="0.3"/>
    <row r="122" s="16" customFormat="1" x14ac:dyDescent="0.3"/>
    <row r="123" s="16" customFormat="1" x14ac:dyDescent="0.3"/>
    <row r="124" s="16" customFormat="1" x14ac:dyDescent="0.3"/>
    <row r="125" s="16" customFormat="1" x14ac:dyDescent="0.3"/>
    <row r="126" s="16" customFormat="1" x14ac:dyDescent="0.3"/>
    <row r="127" s="16" customFormat="1" x14ac:dyDescent="0.3"/>
    <row r="128" s="16" customFormat="1" x14ac:dyDescent="0.3"/>
    <row r="129" s="16" customFormat="1" x14ac:dyDescent="0.3"/>
    <row r="130" s="16" customFormat="1" x14ac:dyDescent="0.3"/>
    <row r="131" s="16" customFormat="1" x14ac:dyDescent="0.3"/>
    <row r="132" s="16" customFormat="1" x14ac:dyDescent="0.3"/>
    <row r="133" s="16" customFormat="1" x14ac:dyDescent="0.3"/>
    <row r="134" s="16" customFormat="1" x14ac:dyDescent="0.3"/>
    <row r="135" s="16" customFormat="1" x14ac:dyDescent="0.3"/>
    <row r="136" s="16" customFormat="1" x14ac:dyDescent="0.3"/>
    <row r="137" s="16" customFormat="1" x14ac:dyDescent="0.3"/>
    <row r="138" s="16" customFormat="1" x14ac:dyDescent="0.3"/>
    <row r="139" s="16" customFormat="1" x14ac:dyDescent="0.3"/>
    <row r="140" s="16" customFormat="1" x14ac:dyDescent="0.3"/>
    <row r="141" s="16" customFormat="1" x14ac:dyDescent="0.3"/>
    <row r="142" s="16" customFormat="1" x14ac:dyDescent="0.3"/>
    <row r="143" s="16" customFormat="1" x14ac:dyDescent="0.3"/>
    <row r="144" s="16" customFormat="1" x14ac:dyDescent="0.3"/>
    <row r="145" s="16" customFormat="1" x14ac:dyDescent="0.3"/>
    <row r="146" s="16" customFormat="1" x14ac:dyDescent="0.3"/>
    <row r="147" s="16" customFormat="1" x14ac:dyDescent="0.3"/>
    <row r="148" s="16" customFormat="1" x14ac:dyDescent="0.3"/>
    <row r="149" s="16" customFormat="1" x14ac:dyDescent="0.3"/>
    <row r="150" s="16" customFormat="1" x14ac:dyDescent="0.3"/>
    <row r="151" s="16" customFormat="1" x14ac:dyDescent="0.3"/>
    <row r="152" s="16" customFormat="1" x14ac:dyDescent="0.3"/>
    <row r="153" s="16" customFormat="1" x14ac:dyDescent="0.3"/>
    <row r="154" s="16" customFormat="1" x14ac:dyDescent="0.3"/>
    <row r="155" s="16" customFormat="1" x14ac:dyDescent="0.3"/>
    <row r="156" s="16" customFormat="1" x14ac:dyDescent="0.3"/>
    <row r="157" s="16" customFormat="1" x14ac:dyDescent="0.3"/>
    <row r="158" s="16" customFormat="1" x14ac:dyDescent="0.3"/>
    <row r="159" s="16" customFormat="1" x14ac:dyDescent="0.3"/>
    <row r="160" s="16" customFormat="1" x14ac:dyDescent="0.3"/>
  </sheetData>
  <mergeCells count="2">
    <mergeCell ref="A2:L2"/>
    <mergeCell ref="A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Registration_Login</vt:lpstr>
      <vt:lpstr>Wallet_Account</vt:lpstr>
      <vt:lpstr>QR_Payment</vt:lpstr>
      <vt:lpstr>Transfer_Remittance</vt:lpstr>
      <vt:lpstr>History_Disputes</vt:lpstr>
      <vt:lpstr>Security_Compliance</vt:lpstr>
      <vt:lpstr>End_to_End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Tan, Ramon Jr</cp:lastModifiedBy>
  <dcterms:created xsi:type="dcterms:W3CDTF">2026-03-24T07:42:17Z</dcterms:created>
  <dcterms:modified xsi:type="dcterms:W3CDTF">2026-04-10T08:03:30Z</dcterms:modified>
</cp:coreProperties>
</file>