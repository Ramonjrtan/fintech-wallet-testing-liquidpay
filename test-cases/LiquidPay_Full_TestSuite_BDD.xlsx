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Registration_Login" sheetId="2" r:id="rId5"/>
    <sheet state="visible" name="Wallet_Account" sheetId="3" r:id="rId6"/>
    <sheet state="visible" name="QR_Payment" sheetId="4" r:id="rId7"/>
    <sheet state="visible" name="Transfer_Remittance" sheetId="5" r:id="rId8"/>
    <sheet state="visible" name="History_Disputes" sheetId="6" r:id="rId9"/>
    <sheet state="visible" name="Security_Compliance" sheetId="7" r:id="rId10"/>
    <sheet state="visible" name="End_to_End" sheetId="8" r:id="rId11"/>
  </sheets>
  <definedNames/>
  <calcPr/>
  <extLst>
    <ext uri="GoogleSheetsCustomDataVersion2">
      <go:sheetsCustomData xmlns:go="http://customooxmlschemas.google.com/" r:id="rId12" roundtripDataChecksum="nTdhmV/mFdWj5rFpS5FoqBOoGvzEhtV9O5+q72jkPh8="/>
    </ext>
  </extLst>
</workbook>
</file>

<file path=xl/sharedStrings.xml><?xml version="1.0" encoding="utf-8"?>
<sst xmlns="http://schemas.openxmlformats.org/spreadsheetml/2006/main" count="1008" uniqueCount="581">
  <si>
    <t>LiquidPay - Manual Test Case Tracker</t>
  </si>
  <si>
    <t>Manual QA test suite for LiquidPay digital wallet using the provided execution-report template.</t>
  </si>
  <si>
    <t>Workbook Controls</t>
  </si>
  <si>
    <t>Default Status</t>
  </si>
  <si>
    <t>Not Run</t>
  </si>
  <si>
    <t>Default Priority</t>
  </si>
  <si>
    <t>High</t>
  </si>
  <si>
    <t>Portfolio Owner</t>
  </si>
  <si>
    <t>Ramon Tan Jr</t>
  </si>
  <si>
    <t>Primary Domain</t>
  </si>
  <si>
    <t>FinTech / Digital Wallet QA</t>
  </si>
  <si>
    <t>Module Coverage</t>
  </si>
  <si>
    <t>Module</t>
  </si>
  <si>
    <t>Sheet Name</t>
  </si>
  <si>
    <t>Total Cases</t>
  </si>
  <si>
    <t>High Priority</t>
  </si>
  <si>
    <t>Negative Cases</t>
  </si>
  <si>
    <t>Automation Candidates</t>
  </si>
  <si>
    <t>Registration &amp; Login</t>
  </si>
  <si>
    <t>Registration_Login</t>
  </si>
  <si>
    <t>Wallet &amp; Account</t>
  </si>
  <si>
    <t>Wallet_Account</t>
  </si>
  <si>
    <t>QR Payment</t>
  </si>
  <si>
    <t>QR_Payment</t>
  </si>
  <si>
    <t>Transfer &amp; Remittance</t>
  </si>
  <si>
    <t>Transfer_Remittance</t>
  </si>
  <si>
    <t>History &amp; Disputes</t>
  </si>
  <si>
    <t>History_Disputes</t>
  </si>
  <si>
    <t>Security &amp; Compliance</t>
  </si>
  <si>
    <t>Security_Compliance</t>
  </si>
  <si>
    <t>End-to-End</t>
  </si>
  <si>
    <t>End_to_End</t>
  </si>
  <si>
    <t>Total</t>
  </si>
  <si>
    <t>Execution Status</t>
  </si>
  <si>
    <t>Status</t>
  </si>
  <si>
    <t>Count</t>
  </si>
  <si>
    <t>Execution KPI</t>
  </si>
  <si>
    <t>Total Test Cases</t>
  </si>
  <si>
    <t>Pass</t>
  </si>
  <si>
    <t>Executed Cases</t>
  </si>
  <si>
    <t>Fail</t>
  </si>
  <si>
    <t>Pass Rate</t>
  </si>
  <si>
    <t>Blocked</t>
  </si>
  <si>
    <t>Fail Rate</t>
  </si>
  <si>
    <t>Registration and Login Test Cases</t>
  </si>
  <si>
    <t>Update the Status column during execution. Summary KPIs and counts refresh automatically.</t>
  </si>
  <si>
    <t>TC_ID</t>
  </si>
  <si>
    <t>Scenario</t>
  </si>
  <si>
    <r>
      <rPr>
        <rFont val="Calibri"/>
        <b/>
        <color rgb="FFFFFFFF"/>
      </rPr>
      <t xml:space="preserve">Acceptance Criteria (BDD)
</t>
    </r>
    <r>
      <rPr>
        <rFont val="Calibri"/>
        <b val="0"/>
        <color rgb="FFFFFFFF"/>
      </rPr>
      <t>Given valid preconditions
When scenario
Then expected result is achieved</t>
    </r>
  </si>
  <si>
    <t>Preconditions</t>
  </si>
  <si>
    <t>Steps</t>
  </si>
  <si>
    <t>Test Data</t>
  </si>
  <si>
    <t>Expected Result</t>
  </si>
  <si>
    <t>Priority</t>
  </si>
  <si>
    <t>Type</t>
  </si>
  <si>
    <t>Automation Candidate</t>
  </si>
  <si>
    <t>Notes</t>
  </si>
  <si>
    <t>TC-REG-001</t>
  </si>
  <si>
    <t>Verify new user can register with valid required details</t>
  </si>
  <si>
    <t>Given valid preconditions
When verify new user can register with valid required details
Then expected result is achieved</t>
  </si>
  <si>
    <t>LiquidPay app is installed on a supported device</t>
  </si>
  <si>
    <t>1. Open app
2. Tap Register
3. Enter valid mobile/email and required profile details
4. Submit registration</t>
  </si>
  <si>
    <t>Valid user profile data</t>
  </si>
  <si>
    <t>Registration succeeds and user proceeds to verification or home flow</t>
  </si>
  <si>
    <t>Positive</t>
  </si>
  <si>
    <t>Yes</t>
  </si>
  <si>
    <t>Core onboarding smoke</t>
  </si>
  <si>
    <t>TC-REG-002</t>
  </si>
  <si>
    <t>Verify mandatory registration fields are validated</t>
  </si>
  <si>
    <t>Given valid preconditions
When verify mandatory registration fields are validated
Then expected result is achieved</t>
  </si>
  <si>
    <t>Registration screen is open</t>
  </si>
  <si>
    <t>1. Leave one or more required fields blank
2. Tap Submit/Register</t>
  </si>
  <si>
    <t>Blank required fields</t>
  </si>
  <si>
    <t>Validation messages appear and account is not created</t>
  </si>
  <si>
    <t>Negative</t>
  </si>
  <si>
    <t>Field-level validation</t>
  </si>
  <si>
    <t>TC-REG-003</t>
  </si>
  <si>
    <t>Verify invalid mobile number or email format is rejected</t>
  </si>
  <si>
    <t>Given valid preconditions
When verify invalid mobile number or email format is rejected
Then expected result is achieved</t>
  </si>
  <si>
    <t>1. Enter invalid email/mobile format
2. Submit form</t>
  </si>
  <si>
    <t>Invalid email/mobile formats</t>
  </si>
  <si>
    <t>Inline validation is shown and submission is blocked</t>
  </si>
  <si>
    <t>Input validation</t>
  </si>
  <si>
    <t>TC-REG-004</t>
  </si>
  <si>
    <t>Verify duplicate registration using an existing account identifier is blocked</t>
  </si>
  <si>
    <t>Given valid preconditions
When verify duplicate registration using an existing account identifier is blocked
Then expected result is achieved</t>
  </si>
  <si>
    <t>Existing account already exists</t>
  </si>
  <si>
    <t>1. Attempt registration using previously registered email/mobile
2. Submit</t>
  </si>
  <si>
    <t>Existing user identifier</t>
  </si>
  <si>
    <t>System prevents duplicate account creation and displays clear message</t>
  </si>
  <si>
    <t>Duplicate prevention</t>
  </si>
  <si>
    <t>TC-REG-005</t>
  </si>
  <si>
    <t>Verify underage applicant cannot complete registration</t>
  </si>
  <si>
    <t>Given valid preconditions
When verify underage applicant cannot complete registration
Then expected result is achieved</t>
  </si>
  <si>
    <t>1. Enter date of birth below minimum allowed age
2. Submit</t>
  </si>
  <si>
    <t>DOB below minimum age</t>
  </si>
  <si>
    <t>Registration is rejected due to age policy</t>
  </si>
  <si>
    <t>Compliance validation</t>
  </si>
  <si>
    <t>TC-REG-006</t>
  </si>
  <si>
    <t>Verify identity verification succeeds with valid user information</t>
  </si>
  <si>
    <t>Given valid preconditions
When verify identity verification succeeds with valid user information
Then expected result is achieved</t>
  </si>
  <si>
    <t>User is registered and verification step is available</t>
  </si>
  <si>
    <t>1. Start identity verification
2. Complete with valid details
3. Submit</t>
  </si>
  <si>
    <t>Valid verification data</t>
  </si>
  <si>
    <t>Account is marked verified and eligible wallet functions become available</t>
  </si>
  <si>
    <t>Critical</t>
  </si>
  <si>
    <t>Later</t>
  </si>
  <si>
    <t>KYC success path</t>
  </si>
  <si>
    <t>TC-REG-007</t>
  </si>
  <si>
    <t>Verify verification failure or cancellation keeps user in unverified state</t>
  </si>
  <si>
    <t>Given valid preconditions
When verify verification failure or cancellation keeps user in unverified state
Then expected result is achieved</t>
  </si>
  <si>
    <t>Verification step is available</t>
  </si>
  <si>
    <t>1. Start identity verification
2. Cancel flow or provide invalid details</t>
  </si>
  <si>
    <t>Cancelled flow / invalid verification data</t>
  </si>
  <si>
    <t>Verification remains incomplete and restricted actions stay blocked</t>
  </si>
  <si>
    <t>KYC failure path</t>
  </si>
  <si>
    <t>TC-LOG-001</t>
  </si>
  <si>
    <t>Verify registered user can log in with valid credentials</t>
  </si>
  <si>
    <t>Given valid preconditions
When verify registered user can log in with valid credentials
Then expected result is achieved</t>
  </si>
  <si>
    <t>Existing active account exists</t>
  </si>
  <si>
    <t>1. Open login
2. Enter valid credentials
3. Submit</t>
  </si>
  <si>
    <t>Valid credentials/OTP</t>
  </si>
  <si>
    <t>Login succeeds and wallet home screen loads</t>
  </si>
  <si>
    <t>Core access path</t>
  </si>
  <si>
    <t>TC-LOG-002</t>
  </si>
  <si>
    <t>Verify invalid credentials are rejected without exposing sensitive details</t>
  </si>
  <si>
    <t>Given valid preconditions
When verify invalid credentials are rejected without exposing sensitive details
Then expected result is achieved</t>
  </si>
  <si>
    <t>Login screen is open</t>
  </si>
  <si>
    <t>1. Enter invalid password/PIN/OTP
2. Submit</t>
  </si>
  <si>
    <t>Invalid credentials</t>
  </si>
  <si>
    <t>Login fails with generic error message and no access is granted</t>
  </si>
  <si>
    <t>Auth validation</t>
  </si>
  <si>
    <t>TC-LOG-003</t>
  </si>
  <si>
    <t>Verify multiple failed login attempts trigger protective controls</t>
  </si>
  <si>
    <t>Given valid preconditions
When verify multiple failed login attempts trigger protective controls
Then expected result is achieved</t>
  </si>
  <si>
    <t>1. Enter wrong credentials repeatedly
2. Observe response after threshold</t>
  </si>
  <si>
    <t>Repeated invalid attempts</t>
  </si>
  <si>
    <t>System enforces lockout, cooldown, or step-up verification per policy</t>
  </si>
  <si>
    <t>Security</t>
  </si>
  <si>
    <t>Brute-force control</t>
  </si>
  <si>
    <t>TC-LOG-004</t>
  </si>
  <si>
    <t>Verify user can log out successfully</t>
  </si>
  <si>
    <t>Given valid preconditions
When verify user can log out successfully
Then expected result is achieved</t>
  </si>
  <si>
    <t>User is logged in</t>
  </si>
  <si>
    <t>1. Open profile/menu
2. Tap Logout</t>
  </si>
  <si>
    <t>N/A</t>
  </si>
  <si>
    <t>User session is ended and login screen is shown</t>
  </si>
  <si>
    <t>Medium</t>
  </si>
  <si>
    <t>Basic session control</t>
  </si>
  <si>
    <t>Wallet and Account Test Cases</t>
  </si>
  <si>
    <r>
      <rPr>
        <rFont val="Calibri"/>
        <b/>
        <color rgb="FFFFFFFF"/>
      </rPr>
      <t xml:space="preserve">Acceptance Criteria (BDD)
</t>
    </r>
    <r>
      <rPr>
        <rFont val="Calibri"/>
        <b val="0"/>
        <color rgb="FFFFFFFF"/>
      </rPr>
      <t>Given valid preconditions
When scenario
Then expected result is achieved</t>
    </r>
  </si>
  <si>
    <t>TC-WAL-001</t>
  </si>
  <si>
    <t>Verify wallet home displays current available balance</t>
  </si>
  <si>
    <t>Given valid preconditions
When verify wallet home displays current available balance
Then expected result is achieved</t>
  </si>
  <si>
    <t>Verified user is logged in</t>
  </si>
  <si>
    <t>1. Open wallet home/dashboard
2. Review displayed balance</t>
  </si>
  <si>
    <t>Wallet with existing balance</t>
  </si>
  <si>
    <t>Available balance is displayed accurately</t>
  </si>
  <si>
    <t>Primary wallet info</t>
  </si>
  <si>
    <t>TC-WAL-002</t>
  </si>
  <si>
    <t>Verify unverified user cannot access restricted wallet actions</t>
  </si>
  <si>
    <t>Given valid preconditions
When verify unverified user cannot access restricted wallet actions
Then expected result is achieved</t>
  </si>
  <si>
    <t>Unverified user is logged in</t>
  </si>
  <si>
    <t>1. Attempt restricted action such as transfer or certain payment flow</t>
  </si>
  <si>
    <t>Unverified account</t>
  </si>
  <si>
    <t>Restricted action is blocked with verification guidance</t>
  </si>
  <si>
    <t>Eligibility control</t>
  </si>
  <si>
    <t>TC-WAL-003</t>
  </si>
  <si>
    <t>Verify wallet profile details can be viewed without error</t>
  </si>
  <si>
    <t>Given valid preconditions
When verify wallet profile details can be viewed without error
Then expected result is achieved</t>
  </si>
  <si>
    <t>1. Open account/profile section
2. Review profile details</t>
  </si>
  <si>
    <t>Existing account</t>
  </si>
  <si>
    <t>Profile details load correctly</t>
  </si>
  <si>
    <t>Profile read-only check</t>
  </si>
  <si>
    <t>TC-WAL-004</t>
  </si>
  <si>
    <t>Verify user can update editable profile information</t>
  </si>
  <si>
    <t>Given valid preconditions
When verify user can update editable profile information
Then expected result is achieved</t>
  </si>
  <si>
    <t>User is logged in and profile update is allowed</t>
  </si>
  <si>
    <t>1. Open editable profile fields
2. Update allowed field(s)
3. Save changes</t>
  </si>
  <si>
    <t>Updated profile values</t>
  </si>
  <si>
    <t>Changes are saved successfully and reflected on reload</t>
  </si>
  <si>
    <t>Profile maintenance</t>
  </si>
  <si>
    <t>TC-WAL-005</t>
  </si>
  <si>
    <t>Verify invalid profile update data is rejected</t>
  </si>
  <si>
    <t>Given valid preconditions
When verify invalid profile update data is rejected
Then expected result is achieved</t>
  </si>
  <si>
    <t>Editable profile page is open</t>
  </si>
  <si>
    <t>1. Enter invalid format in editable field
2. Save</t>
  </si>
  <si>
    <t>Invalid profile value</t>
  </si>
  <si>
    <t>Validation is shown and invalid changes are not saved</t>
  </si>
  <si>
    <t>TC-WAL-006</t>
  </si>
  <si>
    <t>Verify wallet remains usable after app relaunch</t>
  </si>
  <si>
    <t>Given valid preconditions
When verify wallet remains usable after app relaunch
Then expected result is achieved</t>
  </si>
  <si>
    <t>1. Close app
2. Relaunch app
3. Return to wallet</t>
  </si>
  <si>
    <t>Existing logged-in account</t>
  </si>
  <si>
    <t>Wallet data loads as expected according to session policy</t>
  </si>
  <si>
    <t>Regression</t>
  </si>
  <si>
    <t>State persistence</t>
  </si>
  <si>
    <t>TC-WAL-007</t>
  </si>
  <si>
    <t>Verify account freeze state is displayed clearly on wallet</t>
  </si>
  <si>
    <t>Given valid preconditions
When verify account freeze state is displayed clearly on wallet
Then expected result is achieved</t>
  </si>
  <si>
    <t>Frozen account exists</t>
  </si>
  <si>
    <t>1. Log in to frozen account
2. Review wallet banners/messages</t>
  </si>
  <si>
    <t>Frozen account</t>
  </si>
  <si>
    <t>Freeze status and restrictions are clearly displayed</t>
  </si>
  <si>
    <t>Compliance status display</t>
  </si>
  <si>
    <t>TC-WAL-008</t>
  </si>
  <si>
    <t>Verify frozen account cannot initiate transactions</t>
  </si>
  <si>
    <t>Given valid preconditions
When verify frozen account cannot initiate transactions
Then expected result is achieved</t>
  </si>
  <si>
    <t>1. Attempt QR payment or transfer</t>
  </si>
  <si>
    <t>Transaction initiation is blocked consistently</t>
  </si>
  <si>
    <t>Regulatory hold</t>
  </si>
  <si>
    <t>QR Payment Test Cases</t>
  </si>
  <si>
    <r>
      <rPr>
        <rFont val="Calibri"/>
        <b/>
        <color rgb="FFFFFFFF"/>
      </rPr>
      <t xml:space="preserve">Acceptance Criteria (BDD)
</t>
    </r>
    <r>
      <rPr>
        <rFont val="Calibri"/>
        <b val="0"/>
        <color rgb="FFFFFFFF"/>
      </rPr>
      <t>Given valid preconditions
When scenario
Then expected result is achieved</t>
    </r>
  </si>
  <si>
    <t>TC-QRP-001</t>
  </si>
  <si>
    <t>Verify verified user can complete successful local QR payment</t>
  </si>
  <si>
    <t>Given valid preconditions
When verify verified user can complete successful local qr payment
Then expected result is achieved</t>
  </si>
  <si>
    <t>Verified user with sufficient balance is logged in</t>
  </si>
  <si>
    <t>1. Open Scan &amp; Pay
2. Scan valid merchant QR
3. Confirm payment</t>
  </si>
  <si>
    <t>Supported local merchant QR</t>
  </si>
  <si>
    <t>Payment succeeds and confirmation is shown</t>
  </si>
  <si>
    <t>Core business flow</t>
  </si>
  <si>
    <t>TC-QRP-002</t>
  </si>
  <si>
    <t>Verify payment detail screen shows merchant/reference and amount before confirmation</t>
  </si>
  <si>
    <t>Given valid preconditions
When verify payment detail screen shows merchant/reference and amount before confirmation
Then expected result is achieved</t>
  </si>
  <si>
    <t>User scans a supported QR</t>
  </si>
  <si>
    <t>1. Scan valid QR
2. Review payment detail screen</t>
  </si>
  <si>
    <t>Valid QR</t>
  </si>
  <si>
    <t>Payment details are displayed accurately before user confirms</t>
  </si>
  <si>
    <t>Pre-submit confirmation</t>
  </si>
  <si>
    <t>TC-QRP-003</t>
  </si>
  <si>
    <t>Verify invalid or unreadable QR code is rejected gracefully</t>
  </si>
  <si>
    <t>Given valid preconditions
When verify invalid or unreadable qr code is rejected gracefully
Then expected result is achieved</t>
  </si>
  <si>
    <t>Scan screen is open</t>
  </si>
  <si>
    <t>1. Scan corrupted/unsupported QR</t>
  </si>
  <si>
    <t>Invalid/unsupported QR</t>
  </si>
  <si>
    <t>System shows clear error and no transaction is created</t>
  </si>
  <si>
    <t>Unsupported input</t>
  </si>
  <si>
    <t>TC-QRP-004</t>
  </si>
  <si>
    <t>Verify expired QR code cannot be paid</t>
  </si>
  <si>
    <t>Given valid preconditions
When verify expired qr code cannot be paid
Then expected result is achieved</t>
  </si>
  <si>
    <t>Time-bound QR is available</t>
  </si>
  <si>
    <t>1. Scan expired QR
2. Confirm payment if allowed</t>
  </si>
  <si>
    <t>Expired QR</t>
  </si>
  <si>
    <t>Payment is blocked with expired QR message</t>
  </si>
  <si>
    <t>Time validity</t>
  </si>
  <si>
    <t>TC-QRP-005</t>
  </si>
  <si>
    <t>Verify payment is blocked when wallet balance is insufficient</t>
  </si>
  <si>
    <t>Given valid preconditions
When verify payment is blocked when wallet balance is insufficient
Then expected result is achieved</t>
  </si>
  <si>
    <t>Verified user has balance lower than transaction amount</t>
  </si>
  <si>
    <t>1. Scan valid QR
2. Attempt payment</t>
  </si>
  <si>
    <t>Amount &gt; available balance</t>
  </si>
  <si>
    <t>Payment fails with insufficient balance message and no debit occurs</t>
  </si>
  <si>
    <t>Funds validation</t>
  </si>
  <si>
    <t>TC-QRP-006</t>
  </si>
  <si>
    <t>Verify duplicate payment tap does not create double charge</t>
  </si>
  <si>
    <t>Given valid preconditions
When verify duplicate payment tap does not create double charge
Then expected result is achieved</t>
  </si>
  <si>
    <t>Valid QR is scanned and submit button is available</t>
  </si>
  <si>
    <t>1. Tap confirm multiple times rapidly</t>
  </si>
  <si>
    <t>Same QR and amount</t>
  </si>
  <si>
    <t>Only one transaction is processed and one confirmation is produced</t>
  </si>
  <si>
    <t>Idempotency</t>
  </si>
  <si>
    <t>TC-QRP-007</t>
  </si>
  <si>
    <t>Verify user can cancel before final payment submission</t>
  </si>
  <si>
    <t>Given valid preconditions
When verify user can cancel before final payment submission
Then expected result is achieved</t>
  </si>
  <si>
    <t>Payment details are displayed</t>
  </si>
  <si>
    <t>1. Tap Cancel/Back before confirm</t>
  </si>
  <si>
    <t>No transaction is created and balance remains unchanged</t>
  </si>
  <si>
    <t>Safe exit</t>
  </si>
  <si>
    <t>TC-QRP-008</t>
  </si>
  <si>
    <t>Verify network interruption during payment does not cause inconsistent wallet debit</t>
  </si>
  <si>
    <t>Given valid preconditions
When verify network interruption during payment does not cause inconsistent wallet debit
Then expected result is achieved</t>
  </si>
  <si>
    <t>Payment is in progress</t>
  </si>
  <si>
    <t>1. Scan valid QR
2. Confirm payment
3. Interrupt network mid-process</t>
  </si>
  <si>
    <t>Intermittent network</t>
  </si>
  <si>
    <t>App handles pending/unknown status safely and prevents duplicate debit</t>
  </si>
  <si>
    <t>Edge</t>
  </si>
  <si>
    <t>Timeout resilience</t>
  </si>
  <si>
    <t>TC-QRP-009</t>
  </si>
  <si>
    <t>Verify payment failure due to merchant/service decline is communicated correctly</t>
  </si>
  <si>
    <t>Given valid preconditions
When verify payment failure due to merchant/service decline is communicated correctly
Then expected result is achieved</t>
  </si>
  <si>
    <t>Supported QR flow is available with forced decline condition</t>
  </si>
  <si>
    <t>1. Scan valid QR
2. Trigger decline response</t>
  </si>
  <si>
    <t>Merchant/system decline test data</t>
  </si>
  <si>
    <t>Payment fails with clear message and no balance deduction</t>
  </si>
  <si>
    <t>Downstream decline</t>
  </si>
  <si>
    <t>TC-QRP-010</t>
  </si>
  <si>
    <t>Verify successful cross-border QR payment is processed correctly</t>
  </si>
  <si>
    <t>Given valid preconditions
When verify successful cross-border qr payment is processed correctly
Then expected result is achieved</t>
  </si>
  <si>
    <t>Verified eligible user with sufficient balance is logged in</t>
  </si>
  <si>
    <t>1. Scan supported overseas QR
2. Review payable amount
3. Confirm</t>
  </si>
  <si>
    <t>Supported overseas/cross-border QR</t>
  </si>
  <si>
    <t>Payment completes successfully and transaction is recorded accurately</t>
  </si>
  <si>
    <t>Cross-border payment</t>
  </si>
  <si>
    <t>TC-QRP-011</t>
  </si>
  <si>
    <t>Verify transaction record is created immediately after successful QR payment</t>
  </si>
  <si>
    <t>Given valid preconditions
When verify transaction record is created immediately after successful qr payment
Then expected result is achieved</t>
  </si>
  <si>
    <t>Successful QR payment has just completed</t>
  </si>
  <si>
    <t>1. Complete successful payment
2. Open recent transactions</t>
  </si>
  <si>
    <t>Successful QR payment</t>
  </si>
  <si>
    <t>Latest payment appears with correct status, amount, merchant, and reference</t>
  </si>
  <si>
    <t>History sync</t>
  </si>
  <si>
    <t>TC-QRP-012</t>
  </si>
  <si>
    <t>Verify unsupported currency or malformed amount from QR is handled safely</t>
  </si>
  <si>
    <t>Given valid preconditions
When verify unsupported currency or malformed amount from qr is handled safely
Then expected result is achieved</t>
  </si>
  <si>
    <t>Test QR with unsupported currency/malformed payload is available</t>
  </si>
  <si>
    <t>1. Scan QR with invalid amount/currency payload</t>
  </si>
  <si>
    <t>Malformed QR payload</t>
  </si>
  <si>
    <t>System rejects payment and does not proceed to debit</t>
  </si>
  <si>
    <t>Data integrity</t>
  </si>
  <si>
    <t>Transfer and Remittance Test Cases</t>
  </si>
  <si>
    <r>
      <rPr>
        <rFont val="Calibri"/>
        <b/>
        <color rgb="FFFFFFFF"/>
      </rPr>
      <t xml:space="preserve">Acceptance Criteria (BDD)
</t>
    </r>
    <r>
      <rPr>
        <rFont val="Calibri"/>
        <b val="0"/>
        <color rgb="FFFFFFFF"/>
      </rPr>
      <t>Given valid preconditions
When scenario
Then expected result is achieved</t>
    </r>
  </si>
  <si>
    <t>TC-XFR-001</t>
  </si>
  <si>
    <t>Verify successful transfer to valid recipient</t>
  </si>
  <si>
    <t>Given valid preconditions
When verify successful transfer to valid recipient
Then expected result is achieved</t>
  </si>
  <si>
    <t>1. Open Transfer
2. Enter/select valid recipient
3. Enter amount
4. Submit</t>
  </si>
  <si>
    <t>Valid recipient and amount</t>
  </si>
  <si>
    <t>Transfer succeeds and confirmation is shown</t>
  </si>
  <si>
    <t>Core transfer flow</t>
  </si>
  <si>
    <t>TC-XFR-002</t>
  </si>
  <si>
    <t>Verify transfer summary shows recipient and amount before confirmation</t>
  </si>
  <si>
    <t>Given valid preconditions
When verify transfer summary shows recipient and amount before confirmation
Then expected result is achieved</t>
  </si>
  <si>
    <t>Transfer entry screen is open</t>
  </si>
  <si>
    <t>1. Enter valid recipient and amount
2. Continue to summary</t>
  </si>
  <si>
    <t>Confirmation screen displays correct recipient and transfer amount</t>
  </si>
  <si>
    <t>Pre-submit review</t>
  </si>
  <si>
    <t>TC-XFR-003</t>
  </si>
  <si>
    <t>Verify invalid recipient identifier is rejected</t>
  </si>
  <si>
    <t>Given valid preconditions
When verify invalid recipient identifier is rejected
Then expected result is achieved</t>
  </si>
  <si>
    <t>1. Enter invalid recipient ID/account
2. Submit</t>
  </si>
  <si>
    <t>Invalid recipient identifier</t>
  </si>
  <si>
    <t>Transfer is blocked with validation/error message</t>
  </si>
  <si>
    <t>Recipient validation</t>
  </si>
  <si>
    <t>TC-XFR-004</t>
  </si>
  <si>
    <t>Verify insufficient balance blocks transfer</t>
  </si>
  <si>
    <t>Given valid preconditions
When verify insufficient balance blocks transfer
Then expected result is achieved</t>
  </si>
  <si>
    <t>Verified user has low balance</t>
  </si>
  <si>
    <t>1. Enter valid recipient and amount exceeding available balance
2. Submit</t>
  </si>
  <si>
    <t>Amount &gt; balance</t>
  </si>
  <si>
    <t>Transfer fails and no debit occurs</t>
  </si>
  <si>
    <t>TC-XFR-005</t>
  </si>
  <si>
    <t>Verify zero or negative transfer amount is rejected</t>
  </si>
  <si>
    <t>Given valid preconditions
When verify zero or negative transfer amount is rejected
Then expected result is achieved</t>
  </si>
  <si>
    <t>1. Enter zero or negative amount
2. Submit</t>
  </si>
  <si>
    <t>0 / negative amount</t>
  </si>
  <si>
    <t>Validation blocks submission</t>
  </si>
  <si>
    <t>Amount validation</t>
  </si>
  <si>
    <t>TC-XFR-006</t>
  </si>
  <si>
    <t>Verify transfer amount above allowed limit is blocked</t>
  </si>
  <si>
    <t>Given valid preconditions
When verify transfer amount above allowed limit is blocked
Then expected result is achieved</t>
  </si>
  <si>
    <t>1. Enter valid recipient
2. Enter amount above configured limit
3. Submit</t>
  </si>
  <si>
    <t>Amount above transfer limit</t>
  </si>
  <si>
    <t>Transfer is rejected with limit message</t>
  </si>
  <si>
    <t>Transaction limit</t>
  </si>
  <si>
    <t>TC-XFR-007</t>
  </si>
  <si>
    <t>Verify duplicate transfer retry does not post twice</t>
  </si>
  <si>
    <t>Given valid preconditions
When verify duplicate transfer retry does not post twice
Then expected result is achieved</t>
  </si>
  <si>
    <t>Initial transfer request is already submitted</t>
  </si>
  <si>
    <t>1. Re-submit same transfer after delay/spinner
2. Check result</t>
  </si>
  <si>
    <t>Same recipient and amount</t>
  </si>
  <si>
    <t>Only one transfer is recorded</t>
  </si>
  <si>
    <t>TC-XFR-008</t>
  </si>
  <si>
    <t>Verify user can cancel transfer before final submission</t>
  </si>
  <si>
    <t>Given valid preconditions
When verify user can cancel transfer before final submission
Then expected result is achieved</t>
  </si>
  <si>
    <t>Transfer confirmation screen is open</t>
  </si>
  <si>
    <t>1. Tap Cancel/Back</t>
  </si>
  <si>
    <t>No transfer is created</t>
  </si>
  <si>
    <t>TC-XFR-009</t>
  </si>
  <si>
    <t>Verify timeout during transfer resolves to a consistent final state</t>
  </si>
  <si>
    <t>Given valid preconditions
When verify timeout during transfer resolves to a consistent final state
Then expected result is achieved</t>
  </si>
  <si>
    <t>Transfer request is in progress</t>
  </si>
  <si>
    <t>1. Submit transfer
2. Simulate network timeout/interruption
3. Re-open history or refresh status</t>
  </si>
  <si>
    <t>Final status is accurate and only one financial outcome exists</t>
  </si>
  <si>
    <t>Resilience</t>
  </si>
  <si>
    <t>TC-XFR-010</t>
  </si>
  <si>
    <t>Verify cross-border transfer uses correct recipient rail details</t>
  </si>
  <si>
    <t>Given valid preconditions
When verify cross-border transfer uses correct recipient rail details
Then expected result is achieved</t>
  </si>
  <si>
    <t>Cross-border transfer option is available</t>
  </si>
  <si>
    <t>1. Select supported rail/region
2. Enter recipient
3. Submit valid amount</t>
  </si>
  <si>
    <t>Supported cross-border recipient data</t>
  </si>
  <si>
    <t>Transfer succeeds and rail-specific details are recorded correctly</t>
  </si>
  <si>
    <t>Cross-border coverage</t>
  </si>
  <si>
    <t>History and Disputes Test Cases</t>
  </si>
  <si>
    <r>
      <rPr>
        <rFont val="Calibri"/>
        <b/>
        <color rgb="FFFFFFFF"/>
      </rPr>
      <t xml:space="preserve">Acceptance Criteria (BDD)
</t>
    </r>
    <r>
      <rPr>
        <rFont val="Calibri"/>
        <b val="0"/>
        <color rgb="FFFFFFFF"/>
      </rPr>
      <t>Given valid preconditions
When scenario
Then expected result is achieved</t>
    </r>
  </si>
  <si>
    <t>TC-HIS-001</t>
  </si>
  <si>
    <t>Verify recent transactions list shows latest activity in reverse chronological order</t>
  </si>
  <si>
    <t>Given valid preconditions
When verify recent transactions list shows latest activity in reverse chronological order
Then expected result is achieved</t>
  </si>
  <si>
    <t>User has multiple completed transactions</t>
  </si>
  <si>
    <t>1. Open transaction history</t>
  </si>
  <si>
    <t>Existing transaction history</t>
  </si>
  <si>
    <t>Transactions are listed newest first with visible status and amount</t>
  </si>
  <si>
    <t>Core visibility</t>
  </si>
  <si>
    <t>TC-HIS-002</t>
  </si>
  <si>
    <t>Verify transaction detail page shows accurate payment information</t>
  </si>
  <si>
    <t>Given valid preconditions
When verify transaction detail page shows accurate payment information
Then expected result is achieved</t>
  </si>
  <si>
    <t>At least one transaction exists</t>
  </si>
  <si>
    <t>1. Open a completed payment or transfer</t>
  </si>
  <si>
    <t>Existing transaction</t>
  </si>
  <si>
    <t>Detail page shows correct amount, date/time, counterparty/merchant, reference, and status</t>
  </si>
  <si>
    <t>Detail accuracy</t>
  </si>
  <si>
    <t>TC-HIS-003</t>
  </si>
  <si>
    <t>Verify failed transaction is labelled correctly in history</t>
  </si>
  <si>
    <t>Given valid preconditions
When verify failed transaction is labelled correctly in history
Then expected result is achieved</t>
  </si>
  <si>
    <t>At least one failed transaction exists</t>
  </si>
  <si>
    <t>1. Open history
2. Locate failed transaction</t>
  </si>
  <si>
    <t>Failed payment/transfer</t>
  </si>
  <si>
    <t>Failed item is clearly marked and does not appear as successful</t>
  </si>
  <si>
    <t>Failure transparency</t>
  </si>
  <si>
    <t>TC-HIS-004</t>
  </si>
  <si>
    <t>Verify pending transaction status updates correctly after backend completion</t>
  </si>
  <si>
    <t>Given valid preconditions
When verify pending transaction status updates correctly after backend completion
Then expected result is achieved</t>
  </si>
  <si>
    <t>Pending transaction exists</t>
  </si>
  <si>
    <t>1. Open history during pending state
2. Refresh later</t>
  </si>
  <si>
    <t>Pending transaction</t>
  </si>
  <si>
    <t>Status eventually updates to correct final state</t>
  </si>
  <si>
    <t>Asynchronous update</t>
  </si>
  <si>
    <t>TC-HIS-005</t>
  </si>
  <si>
    <t>Verify older transaction retrieval or message behaves per product policy</t>
  </si>
  <si>
    <t>Given valid preconditions
When verify older transaction retrieval or message behaves per product policy
Then expected result is achieved</t>
  </si>
  <si>
    <t>Transaction older than in-app threshold exists</t>
  </si>
  <si>
    <t>1. Search/open older history period if supported</t>
  </si>
  <si>
    <t>Older transaction data</t>
  </si>
  <si>
    <t>App displays supported data or guidance according to retention policy</t>
  </si>
  <si>
    <t>Retention handling</t>
  </si>
  <si>
    <t>TC-HIS-006</t>
  </si>
  <si>
    <t>Verify filtering by transaction type or date works correctly</t>
  </si>
  <si>
    <t>Given valid preconditions
When verify filtering by transaction type or date works correctly
Then expected result is achieved</t>
  </si>
  <si>
    <t>History filters are available</t>
  </si>
  <si>
    <t>1. Apply transaction type/date filter
2. Review result set</t>
  </si>
  <si>
    <t>Date range/type filters</t>
  </si>
  <si>
    <t>Only matching transactions are shown</t>
  </si>
  <si>
    <t>Usability coverage</t>
  </si>
  <si>
    <t>TC-DSP-001</t>
  </si>
  <si>
    <t>Verify user can start dispute/refund request from a completed transaction</t>
  </si>
  <si>
    <t>Given valid preconditions
When verify user can start dispute/refund request from a completed transaction
Then expected result is achieved</t>
  </si>
  <si>
    <t>Completed eligible transaction exists</t>
  </si>
  <si>
    <t>1. Open transaction details
2. Start dispute/refund flow</t>
  </si>
  <si>
    <t>Completed transaction</t>
  </si>
  <si>
    <t>Dispute/refund request flow is available and opens correctly</t>
  </si>
  <si>
    <t>Support entry point</t>
  </si>
  <si>
    <t>TC-DSP-002</t>
  </si>
  <si>
    <t>Verify dispute submission requires mandatory supporting details</t>
  </si>
  <si>
    <t>Given valid preconditions
When verify dispute submission requires mandatory supporting details
Then expected result is achieved</t>
  </si>
  <si>
    <t>Dispute flow is open</t>
  </si>
  <si>
    <t>1. Leave mandatory dispute details blank
2. Submit</t>
  </si>
  <si>
    <t>Blank dispute details</t>
  </si>
  <si>
    <t>Submission is blocked with validation messages</t>
  </si>
  <si>
    <t>Case quality</t>
  </si>
  <si>
    <t>TC-DSP-003</t>
  </si>
  <si>
    <t>Verify successful dispute submission creates reference/case ID</t>
  </si>
  <si>
    <t>Given valid preconditions
When verify successful dispute submission creates reference/case id
Then expected result is achieved</t>
  </si>
  <si>
    <t>1. Complete dispute form with valid details
2. Submit</t>
  </si>
  <si>
    <t>Valid dispute data</t>
  </si>
  <si>
    <t>Case is submitted and reference ID/confirmation is displayed</t>
  </si>
  <si>
    <t>Case tracking</t>
  </si>
  <si>
    <t>TC-DSP-004</t>
  </si>
  <si>
    <t>Verify suspicious/fraud transaction can be reported to support</t>
  </si>
  <si>
    <t>Given valid preconditions
When verify suspicious/fraud transaction can be reported to support
Then expected result is achieved</t>
  </si>
  <si>
    <t>Completed or suspicious transaction exists</t>
  </si>
  <si>
    <t>1. Open report fraud/support flow
2. Submit case details</t>
  </si>
  <si>
    <t>Suspicious transaction details</t>
  </si>
  <si>
    <t>Fraud report is logged successfully</t>
  </si>
  <si>
    <t>Fraud escalation</t>
  </si>
  <si>
    <t>Security and Compliance Test Cases</t>
  </si>
  <si>
    <r>
      <rPr>
        <rFont val="Calibri"/>
        <b/>
        <color rgb="FFFFFFFF"/>
      </rPr>
      <t xml:space="preserve">Acceptance Criteria (BDD)
</t>
    </r>
    <r>
      <rPr>
        <rFont val="Calibri"/>
        <b val="0"/>
        <color rgb="FFFFFFFF"/>
      </rPr>
      <t>Given valid preconditions
When scenario
Then expected result is achieved</t>
    </r>
  </si>
  <si>
    <t>TC-SEC-001</t>
  </si>
  <si>
    <t>Verify session times out after configured inactivity period</t>
  </si>
  <si>
    <t>Given valid preconditions
When verify session times out after configured inactivity period
Then expected result is achieved</t>
  </si>
  <si>
    <t>1. Stay idle beyond timeout
2. Attempt to resume use</t>
  </si>
  <si>
    <t>Idle session</t>
  </si>
  <si>
    <t>Session expires and re-authentication is required</t>
  </si>
  <si>
    <t>Session control</t>
  </si>
  <si>
    <t>TC-SEC-002</t>
  </si>
  <si>
    <t>Verify sensitive actions require authentication or step-up validation</t>
  </si>
  <si>
    <t>Given valid preconditions
When verify sensitive actions require authentication or step-up validation
Then expected result is achieved</t>
  </si>
  <si>
    <t>Logged-in user is initiating transfer or payment</t>
  </si>
  <si>
    <t>1. Start sensitive action
2. Proceed to final confirmation</t>
  </si>
  <si>
    <t>Valid payment/transfer</t>
  </si>
  <si>
    <t>Strong auth/PIN/OTP is required before completion</t>
  </si>
  <si>
    <t>Step-up auth</t>
  </si>
  <si>
    <t>TC-SEC-003</t>
  </si>
  <si>
    <t>Verify app masks sensitive user/payment details where appropriate</t>
  </si>
  <si>
    <t>Given valid preconditions
When verify app masks sensitive user/payment details where appropriate
Then expected result is achieved</t>
  </si>
  <si>
    <t>1. Open profile, history, and payment screens</t>
  </si>
  <si>
    <t>Existing user data</t>
  </si>
  <si>
    <t>Sensitive information is masked according to policy</t>
  </si>
  <si>
    <t>Privacy UX</t>
  </si>
  <si>
    <t>TC-SEC-004</t>
  </si>
  <si>
    <t>Verify rooted/jailbroken/tampered device handling follows policy</t>
  </si>
  <si>
    <t>Given valid preconditions
When verify rooted/jailbroken/tampered device handling follows policy
Then expected result is achieved</t>
  </si>
  <si>
    <t>Test device is compromised or device check is simulated</t>
  </si>
  <si>
    <t>1. Launch app on compromised/tampered environment</t>
  </si>
  <si>
    <t>Tampered device</t>
  </si>
  <si>
    <t>App warns, blocks, or restricts usage per policy</t>
  </si>
  <si>
    <t>Device integrity</t>
  </si>
  <si>
    <t>TC-SEC-005</t>
  </si>
  <si>
    <t>Verify rapid repeated transactions trigger fraud/risk controls</t>
  </si>
  <si>
    <t>Given valid preconditions
When verify rapid repeated transactions trigger fraud/risk controls
Then expected result is achieved</t>
  </si>
  <si>
    <t>1. Attempt multiple similar transactions rapidly</t>
  </si>
  <si>
    <t>Rapid repeated payment attempts</t>
  </si>
  <si>
    <t>Risk controls flag, throttle, or block suspicious pattern</t>
  </si>
  <si>
    <t>Fraud detection</t>
  </si>
  <si>
    <t>TC-SEC-006</t>
  </si>
  <si>
    <t>Verify account freeze or hold blocks all outbound financial actions</t>
  </si>
  <si>
    <t>Given valid preconditions
When verify account freeze or hold blocks all outbound financial actions
Then expected result is achieved</t>
  </si>
  <si>
    <t>Account is on compliance hold/freeze</t>
  </si>
  <si>
    <t>1. Attempt payment
2. Attempt transfer</t>
  </si>
  <si>
    <t>All restricted outbound actions are blocked consistently</t>
  </si>
  <si>
    <t>Compliance enforcement</t>
  </si>
  <si>
    <t>TC-SEC-007</t>
  </si>
  <si>
    <t>Verify audit evidence can be linked from requirement to test result</t>
  </si>
  <si>
    <t>Given valid preconditions
When verify audit evidence can be linked from requirement to test result
Then expected result is achieved</t>
  </si>
  <si>
    <t>Test execution artifacts and requirement IDs are available</t>
  </si>
  <si>
    <t>1. Review requirement mapping
2. Review linked evidence</t>
  </si>
  <si>
    <t>Requirement IDs and screenshots/logs</t>
  </si>
  <si>
    <t>Requirement, test case, result, and evidence are traceable</t>
  </si>
  <si>
    <t>Audit</t>
  </si>
  <si>
    <t>Release readiness</t>
  </si>
  <si>
    <t>TC-SEC-008</t>
  </si>
  <si>
    <t>Verify no production/cardholder data is used in AI-assisted test assets</t>
  </si>
  <si>
    <t>Given valid preconditions
When verify no production/cardholder data is used in ai-assisted test assets
Then expected result is achieved</t>
  </si>
  <si>
    <t>Approved AI-assisted testing workflow is available</t>
  </si>
  <si>
    <t>1. Review generated test assets/prompts/data
2. Check sample data usage</t>
  </si>
  <si>
    <t>AI-generated test assets</t>
  </si>
  <si>
    <t>Only sanitized/non-production data is present</t>
  </si>
  <si>
    <t>Compliance</t>
  </si>
  <si>
    <t>AI governance</t>
  </si>
  <si>
    <t>TC-SEC-009</t>
  </si>
  <si>
    <t>Verify app logs and client-side errors do not expose secrets</t>
  </si>
  <si>
    <t>Given valid preconditions
When verify app logs and client-side errors do not expose secrets
Then expected result is achieved</t>
  </si>
  <si>
    <t>Logging/diagnostic review is available</t>
  </si>
  <si>
    <t>1. Trigger controlled error
2. Review app/client logs</t>
  </si>
  <si>
    <t>Controlled test error</t>
  </si>
  <si>
    <t>Logs do not expose secrets, tokens, or full sensitive values</t>
  </si>
  <si>
    <t>Secure logging</t>
  </si>
  <si>
    <t>End-to-End Test Cases</t>
  </si>
  <si>
    <r>
      <rPr>
        <rFont val="Calibri"/>
        <b/>
        <color rgb="FFFFFFFF"/>
      </rPr>
      <t xml:space="preserve">Acceptance Criteria (BDD)
</t>
    </r>
    <r>
      <rPr>
        <rFont val="Calibri"/>
        <b val="0"/>
        <color rgb="FFFFFFFF"/>
      </rPr>
      <t>Given valid preconditions
When scenario
Then expected result is achieved</t>
    </r>
  </si>
  <si>
    <t>TC-E2E-001</t>
  </si>
  <si>
    <t>Verify new verified user can complete full onboarding to first successful QR payment</t>
  </si>
  <si>
    <t>Given valid preconditions
When verify new verified user can complete full onboarding to first successful qr payment
Then expected result is achieved</t>
  </si>
  <si>
    <t>Fresh user and test merchant QR are available</t>
  </si>
  <si>
    <t>1. Register new user
2. Complete verification
3. Log in
4. Scan valid QR
5. Confirm payment</t>
  </si>
  <si>
    <t>New user + valid merchant QR</t>
  </si>
  <si>
    <t>User completes onboarding and first QR payment successfully</t>
  </si>
  <si>
    <t>Flagship acceptance flow</t>
  </si>
  <si>
    <t>TC-E2E-002</t>
  </si>
  <si>
    <t>Verify returning user can complete successful transfer and see it in history</t>
  </si>
  <si>
    <t>Given valid preconditions
When verify returning user can complete successful transfer and see it in history
Then expected result is achieved</t>
  </si>
  <si>
    <t>Existing verified user with sufficient balance exists</t>
  </si>
  <si>
    <t>1. Log in
2. Transfer to valid recipient
3. Open history</t>
  </si>
  <si>
    <t>Transfer succeeds and appears correctly in history</t>
  </si>
  <si>
    <t>Primary returning-user flow</t>
  </si>
  <si>
    <t>TC-E2E-003</t>
  </si>
  <si>
    <t>Verify local QR payment totals remain consistent across payment, wallet balance, and history</t>
  </si>
  <si>
    <t>Given valid preconditions
When verify local qr payment totals remain consistent across payment, wallet balance, and history
Then expected result is achieved</t>
  </si>
  <si>
    <t>Verified user with known starting balance exists</t>
  </si>
  <si>
    <t>1. Capture starting balance
2. Complete QR payment
3. Check ending balance and history</t>
  </si>
  <si>
    <t>Valid QR and known amount</t>
  </si>
  <si>
    <t>Deduction amount matches payment and history record exactly</t>
  </si>
  <si>
    <t>Financial integrity</t>
  </si>
  <si>
    <t>TC-E2E-004</t>
  </si>
  <si>
    <t>Verify duplicate-submit protection across QR payment under network delay</t>
  </si>
  <si>
    <t>Given valid preconditions
When verify duplicate-submit protection across qr payment under network delay
Then expected result is achieved</t>
  </si>
  <si>
    <t>Verified user is logged in and valid QR is available</t>
  </si>
  <si>
    <t>1. Initiate payment
2. Cause delay
3. Retry/press confirm again</t>
  </si>
  <si>
    <t>Valid QR with induced delay</t>
  </si>
  <si>
    <t>Only one completed transaction exists end-to-end</t>
  </si>
  <si>
    <t>Idempotency across layers</t>
  </si>
  <si>
    <t>TC-E2E-005</t>
  </si>
  <si>
    <t>Verify frozen account cannot complete payment or transfer end-to-end</t>
  </si>
  <si>
    <t>Given valid preconditions
When verify frozen account cannot complete payment or transfer end-to-end
Then expected result is achieved</t>
  </si>
  <si>
    <t>1. Log in to frozen account
2. Attempt QR payment
3. Attempt transfer</t>
  </si>
  <si>
    <t>Both flows are blocked and status messaging is consistent</t>
  </si>
  <si>
    <t>Compliance gate</t>
  </si>
  <si>
    <t>TC-E2E-006</t>
  </si>
  <si>
    <t>Verify dispute can be raised for a completed QR payment end-to-end</t>
  </si>
  <si>
    <t>Given valid preconditions
When verify dispute can be raised for a completed qr payment end-to-end
Then expected result is achieved</t>
  </si>
  <si>
    <t>Completed eligible QR payment exists</t>
  </si>
  <si>
    <t>1. Open history
2. Open transaction
3. Submit dispute</t>
  </si>
  <si>
    <t>Completed QR payment</t>
  </si>
  <si>
    <t>Dispute submission succeeds and case reference is generated</t>
  </si>
  <si>
    <t>Post-transaction support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</si>
</sst>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3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/>
    <font>
      <color rgb="FF7F7F7F"/>
      <name val="Calibri"/>
      <scheme val="minor"/>
    </font>
    <font>
      <b/>
      <sz val="11.0"/>
      <color rgb="FFFFFFFF"/>
      <name val="Calibri"/>
      <scheme val="minor"/>
    </font>
    <font>
      <b/>
      <color theme="1"/>
      <name val="Calibri"/>
      <scheme val="minor"/>
    </font>
    <font>
      <color rgb="FF800080"/>
      <name val="Calibri"/>
      <scheme val="minor"/>
    </font>
    <font>
      <b/>
      <color rgb="FFFFFFFF"/>
      <name val="Calibri"/>
      <scheme val="minor"/>
    </font>
    <font>
      <color rgb="FF0000FF"/>
      <name val="Calibri"/>
      <scheme val="minor"/>
    </font>
    <font>
      <color rgb="FF008000"/>
      <name val="Calibri"/>
      <scheme val="minor"/>
    </font>
    <font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4DFEC"/>
        <bgColor rgb="FFE4DFEC"/>
      </patternFill>
    </fill>
    <fill>
      <patternFill patternType="solid">
        <fgColor rgb="FFD9EAF7"/>
        <bgColor rgb="FFD9EAF7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medium">
        <color rgb="FF7F7F7F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4" numFmtId="0" xfId="0" applyAlignment="1" applyBorder="1" applyFont="1">
      <alignment horizontal="left" shrinkToFit="0" vertical="top" wrapText="1"/>
    </xf>
    <xf borderId="0" fillId="0" fontId="5" numFmtId="0" xfId="0" applyFont="1"/>
    <xf borderId="4" fillId="3" fontId="6" numFmtId="0" xfId="0" applyAlignment="1" applyBorder="1" applyFill="1" applyFont="1">
      <alignment horizontal="left" shrinkToFit="0" vertical="top" wrapText="1"/>
    </xf>
    <xf borderId="4" fillId="2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shrinkToFit="0" vertical="top" wrapText="1"/>
    </xf>
    <xf borderId="0" fillId="0" fontId="10" numFmtId="0" xfId="0" applyAlignment="1" applyFont="1">
      <alignment horizontal="center" shrinkToFit="0" vertical="center" wrapText="1"/>
    </xf>
    <xf borderId="5" fillId="0" fontId="5" numFmtId="0" xfId="0" applyBorder="1" applyFont="1"/>
    <xf borderId="5" fillId="0" fontId="11" numFmtId="0" xfId="0" applyBorder="1" applyFont="1"/>
    <xf borderId="0" fillId="0" fontId="12" numFmtId="0" xfId="0" applyFont="1"/>
    <xf borderId="4" fillId="2" fontId="4" numFmtId="0" xfId="0" applyBorder="1" applyFont="1"/>
    <xf borderId="1" fillId="2" fontId="4" numFmtId="0" xfId="0" applyBorder="1" applyFont="1"/>
    <xf borderId="0" fillId="0" fontId="8" numFmtId="0" xfId="0" applyFont="1"/>
    <xf borderId="0" fillId="0" fontId="10" numFmtId="0" xfId="0" applyFont="1"/>
    <xf borderId="4" fillId="4" fontId="10" numFmtId="164" xfId="0" applyBorder="1" applyFill="1" applyFont="1" applyNumberFormat="1"/>
    <xf borderId="1" fillId="2" fontId="1" numFmtId="0" xfId="0" applyBorder="1" applyFont="1"/>
    <xf borderId="0" fillId="0" fontId="3" numFmtId="0" xfId="0" applyAlignment="1" applyFont="1">
      <alignment horizontal="left" shrinkToFit="0" vertical="top" wrapText="1"/>
    </xf>
    <xf borderId="4" fillId="2" fontId="7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left" shrinkToFit="0" vertical="top" wrapText="1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22.0"/>
    <col customWidth="1" min="3" max="3" width="14.0"/>
    <col customWidth="1" min="4" max="4" width="18.0"/>
    <col customWidth="1" min="5" max="5" width="14.0"/>
    <col customWidth="1" min="6" max="6" width="22.0"/>
    <col customWidth="1" min="7" max="26" width="8.71"/>
  </cols>
  <sheetData>
    <row r="1" ht="21.75" customHeight="1">
      <c r="A1" s="1" t="s">
        <v>0</v>
      </c>
      <c r="B1" s="2"/>
      <c r="C1" s="2"/>
      <c r="D1" s="2"/>
      <c r="E1" s="2"/>
      <c r="F1" s="3"/>
    </row>
    <row r="2" ht="18.0" customHeight="1"/>
    <row r="3" ht="18.0" customHeight="1">
      <c r="A3" s="4" t="s">
        <v>1</v>
      </c>
    </row>
    <row r="4" ht="18.0" customHeight="1"/>
    <row r="5" ht="19.5" customHeight="1">
      <c r="A5" s="5" t="s">
        <v>2</v>
      </c>
      <c r="B5" s="2"/>
      <c r="C5" s="2"/>
      <c r="D5" s="2"/>
      <c r="E5" s="2"/>
      <c r="F5" s="3"/>
    </row>
    <row r="6" ht="18.0" customHeight="1">
      <c r="A6" s="6" t="s">
        <v>3</v>
      </c>
      <c r="B6" s="7" t="s">
        <v>4</v>
      </c>
    </row>
    <row r="7" ht="18.0" customHeight="1">
      <c r="A7" s="6" t="s">
        <v>5</v>
      </c>
      <c r="B7" s="7" t="s">
        <v>6</v>
      </c>
    </row>
    <row r="8" ht="18.0" customHeight="1">
      <c r="A8" s="6" t="s">
        <v>7</v>
      </c>
      <c r="B8" s="7" t="s">
        <v>8</v>
      </c>
    </row>
    <row r="9" ht="18.0" customHeight="1">
      <c r="A9" s="6" t="s">
        <v>9</v>
      </c>
      <c r="B9" s="7" t="s">
        <v>10</v>
      </c>
    </row>
    <row r="10" ht="18.0" customHeight="1"/>
    <row r="11" ht="19.5" customHeight="1">
      <c r="A11" s="5" t="s">
        <v>11</v>
      </c>
      <c r="B11" s="2"/>
      <c r="C11" s="2"/>
      <c r="D11" s="2"/>
      <c r="E11" s="2"/>
      <c r="F11" s="3"/>
    </row>
    <row r="12" ht="21.75" customHeight="1">
      <c r="A12" s="8" t="s">
        <v>12</v>
      </c>
      <c r="B12" s="8" t="s">
        <v>13</v>
      </c>
      <c r="C12" s="8" t="s">
        <v>14</v>
      </c>
      <c r="D12" s="8" t="s">
        <v>15</v>
      </c>
      <c r="E12" s="8" t="s">
        <v>16</v>
      </c>
      <c r="F12" s="8" t="s">
        <v>17</v>
      </c>
    </row>
    <row r="13" ht="18.0" customHeight="1">
      <c r="A13" s="9" t="s">
        <v>18</v>
      </c>
      <c r="B13" s="10" t="s">
        <v>19</v>
      </c>
      <c r="C13" s="11">
        <f>COUNTA(Registration_Login!A5:A200)</f>
        <v>11</v>
      </c>
      <c r="D13" s="11">
        <f>COUNTIF(Registration_Login!H:H,"High")+COUNTIF(Registration_Login!H:H,"Critical")</f>
        <v>0</v>
      </c>
      <c r="E13" s="11">
        <f>COUNTIF(Registration_Login!I:I,"Negative")+COUNTIF(Registration_Login!I:I,"Security")+COUNTIF(Registration_Login!I:I,"Compliance")+COUNTIF(Registration_Login!I:I,"Audit")</f>
        <v>0</v>
      </c>
      <c r="F13" s="11">
        <f>COUNTIF(Registration_Login!J:J,"Yes")</f>
        <v>0</v>
      </c>
    </row>
    <row r="14" ht="18.0" customHeight="1">
      <c r="A14" s="9" t="s">
        <v>20</v>
      </c>
      <c r="B14" s="10" t="s">
        <v>21</v>
      </c>
      <c r="C14" s="11">
        <f>COUNTA(Wallet_Account!A5:A200)</f>
        <v>8</v>
      </c>
      <c r="D14" s="11">
        <f>COUNTIF(Wallet_Account!H:H,"High")+COUNTIF(Wallet_Account!H:H,"Critical")</f>
        <v>0</v>
      </c>
      <c r="E14" s="11">
        <f>COUNTIF(Wallet_Account!I:I,"Negative")+COUNTIF(Wallet_Account!I:I,"Security")+COUNTIF(Wallet_Account!I:I,"Compliance")+COUNTIF(Wallet_Account!I:I,"Audit")</f>
        <v>0</v>
      </c>
      <c r="F14" s="11">
        <f>COUNTIF(Wallet_Account!J:J,"Yes")</f>
        <v>0</v>
      </c>
    </row>
    <row r="15" ht="18.0" customHeight="1">
      <c r="A15" s="9" t="s">
        <v>22</v>
      </c>
      <c r="B15" s="10" t="s">
        <v>23</v>
      </c>
      <c r="C15" s="11">
        <f>COUNTA(QR_Payment!A5:A200)</f>
        <v>12</v>
      </c>
      <c r="D15" s="11">
        <f>COUNTIF(QR_Payment!H:H,"High")+COUNTIF(QR_Payment!H:H,"Critical")</f>
        <v>0</v>
      </c>
      <c r="E15" s="11">
        <f>COUNTIF(QR_Payment!I:I,"Negative")+COUNTIF(QR_Payment!I:I,"Security")+COUNTIF(QR_Payment!I:I,"Compliance")+COUNTIF(QR_Payment!I:I,"Audit")</f>
        <v>0</v>
      </c>
      <c r="F15" s="11">
        <f>COUNTIF(QR_Payment!J:J,"Yes")</f>
        <v>0</v>
      </c>
    </row>
    <row r="16" ht="18.0" customHeight="1">
      <c r="A16" s="9" t="s">
        <v>24</v>
      </c>
      <c r="B16" s="10" t="s">
        <v>25</v>
      </c>
      <c r="C16" s="11">
        <f>COUNTA(Transfer_Remittance!A5:A200)</f>
        <v>10</v>
      </c>
      <c r="D16" s="11">
        <f>COUNTIF(Transfer_Remittance!H:H,"High")+COUNTIF(Transfer_Remittance!H:H,"Critical")</f>
        <v>0</v>
      </c>
      <c r="E16" s="11">
        <f>COUNTIF(Transfer_Remittance!I:I,"Negative")+COUNTIF(Transfer_Remittance!I:I,"Security")+COUNTIF(Transfer_Remittance!I:I,"Compliance")+COUNTIF(Transfer_Remittance!I:I,"Audit")</f>
        <v>0</v>
      </c>
      <c r="F16" s="11">
        <f>COUNTIF(Transfer_Remittance!J:J,"Yes")</f>
        <v>0</v>
      </c>
    </row>
    <row r="17" ht="18.0" customHeight="1">
      <c r="A17" s="9" t="s">
        <v>26</v>
      </c>
      <c r="B17" s="10" t="s">
        <v>27</v>
      </c>
      <c r="C17" s="11">
        <f>COUNTA(History_Disputes!A5:A200)</f>
        <v>10</v>
      </c>
      <c r="D17" s="11">
        <f>COUNTIF(History_Disputes!H:H,"High")+COUNTIF(History_Disputes!H:H,"Critical")</f>
        <v>0</v>
      </c>
      <c r="E17" s="11">
        <f>COUNTIF(History_Disputes!I:I,"Negative")+COUNTIF(History_Disputes!I:I,"Security")+COUNTIF(History_Disputes!I:I,"Compliance")+COUNTIF(History_Disputes!I:I,"Audit")</f>
        <v>0</v>
      </c>
      <c r="F17" s="11">
        <f>COUNTIF(History_Disputes!J:J,"Yes")</f>
        <v>0</v>
      </c>
    </row>
    <row r="18" ht="18.0" customHeight="1">
      <c r="A18" s="9" t="s">
        <v>28</v>
      </c>
      <c r="B18" s="10" t="s">
        <v>29</v>
      </c>
      <c r="C18" s="11">
        <f>COUNTA(Security_Compliance!A5:A200)</f>
        <v>9</v>
      </c>
      <c r="D18" s="11">
        <f>COUNTIF(Security_Compliance!H:H,"High")+COUNTIF(Security_Compliance!H:H,"Critical")</f>
        <v>0</v>
      </c>
      <c r="E18" s="11">
        <f>COUNTIF(Security_Compliance!I:I,"Negative")+COUNTIF(Security_Compliance!I:I,"Security")+COUNTIF(Security_Compliance!I:I,"Compliance")+COUNTIF(Security_Compliance!I:I,"Audit")</f>
        <v>0</v>
      </c>
      <c r="F18" s="11">
        <f>COUNTIF(Security_Compliance!J:J,"Yes")</f>
        <v>0</v>
      </c>
    </row>
    <row r="19" ht="18.0" customHeight="1">
      <c r="A19" s="12" t="s">
        <v>30</v>
      </c>
      <c r="B19" s="13" t="s">
        <v>31</v>
      </c>
      <c r="C19" s="12">
        <f>COUNTA(End_to_End!A5:A200)</f>
        <v>6</v>
      </c>
      <c r="D19" s="12">
        <f>COUNTIF(End_to_End!H:H,"High")+COUNTIF(End_to_End!H:H,"Critical")</f>
        <v>0</v>
      </c>
      <c r="E19" s="12">
        <f>COUNTIF(End_to_End!I:I,"Negative")+COUNTIF(End_to_End!I:I,"Security")+COUNTIF(End_to_End!I:I,"Compliance")+COUNTIF(End_to_End!I:I,"Audit")</f>
        <v>0</v>
      </c>
      <c r="F19" s="12">
        <f>COUNTIF(End_to_End!J:J,"Yes")</f>
        <v>0</v>
      </c>
    </row>
    <row r="20" ht="18.0" customHeight="1">
      <c r="A20" s="8" t="s">
        <v>32</v>
      </c>
      <c r="B20" s="8"/>
      <c r="C20" s="14">
        <f t="shared" ref="C20:F20" si="1">SUM(C13:C19)</f>
        <v>66</v>
      </c>
      <c r="D20" s="15">
        <f t="shared" si="1"/>
        <v>0</v>
      </c>
      <c r="E20" s="14">
        <f t="shared" si="1"/>
        <v>0</v>
      </c>
      <c r="F20" s="14">
        <f t="shared" si="1"/>
        <v>0</v>
      </c>
    </row>
    <row r="21" ht="19.5" customHeight="1">
      <c r="A21" s="5" t="s">
        <v>33</v>
      </c>
      <c r="B21" s="2"/>
      <c r="C21" s="2"/>
      <c r="D21" s="2"/>
      <c r="E21" s="2"/>
      <c r="F21" s="3"/>
    </row>
    <row r="22" ht="21.75" customHeight="1">
      <c r="A22" s="8" t="s">
        <v>34</v>
      </c>
      <c r="B22" s="8" t="s">
        <v>35</v>
      </c>
      <c r="D22" s="16" t="s">
        <v>36</v>
      </c>
      <c r="E22" s="2"/>
      <c r="F22" s="3"/>
    </row>
    <row r="23" ht="18.0" customHeight="1">
      <c r="A23" s="17" t="s">
        <v>4</v>
      </c>
      <c r="B23" s="18">
        <f>COUNTIF(Registration_Login!K:K,A23)+COUNTIF(Wallet_Account!K:K,A23)+COUNTIF(QR_Payment!K:K,A23)+COUNTIF(Transfer_Remittance!K:K,A23)+COUNTIF(History_Disputes!K:K,A23)+COUNTIF(Security_Compliance!K:K,A23)+COUNTIF(End_to_End!K:K,A23)</f>
        <v>0</v>
      </c>
      <c r="D23" s="6" t="s">
        <v>37</v>
      </c>
      <c r="E23" s="18">
        <f>SUM(B23:B26)</f>
        <v>0</v>
      </c>
    </row>
    <row r="24" ht="18.0" customHeight="1">
      <c r="A24" s="17" t="s">
        <v>38</v>
      </c>
      <c r="B24" s="18">
        <f>COUNTIF(Registration_Login!K:K,A24)+COUNTIF(Wallet_Account!K:K,A24)+COUNTIF(QR_Payment!K:K,A24)+COUNTIF(Transfer_Remittance!K:K,A24)+COUNTIF(History_Disputes!K:K,A24)+COUNTIF(Security_Compliance!K:K,A24)+COUNTIF(End_to_End!K:K,A24)</f>
        <v>0</v>
      </c>
      <c r="D24" s="6" t="s">
        <v>39</v>
      </c>
      <c r="E24" s="18">
        <f>B24+B25+B26</f>
        <v>0</v>
      </c>
    </row>
    <row r="25" ht="18.0" customHeight="1">
      <c r="A25" s="17" t="s">
        <v>40</v>
      </c>
      <c r="B25" s="18">
        <f>COUNTIF(Registration_Login!K:K,A25)+COUNTIF(Wallet_Account!K:K,A25)+COUNTIF(QR_Payment!K:K,A25)+COUNTIF(Transfer_Remittance!K:K,A25)+COUNTIF(History_Disputes!K:K,A25)+COUNTIF(Security_Compliance!K:K,A25)+COUNTIF(End_to_End!K:K,A25)</f>
        <v>0</v>
      </c>
      <c r="D25" s="6" t="s">
        <v>41</v>
      </c>
      <c r="E25" s="19">
        <f>IF(E24=0,0,B24/E24)</f>
        <v>0</v>
      </c>
    </row>
    <row r="26" ht="18.0" customHeight="1">
      <c r="A26" s="17" t="s">
        <v>42</v>
      </c>
      <c r="B26" s="18">
        <f>COUNTIF(Registration_Login!K:K,A26)+COUNTIF(Wallet_Account!K:K,A26)+COUNTIF(QR_Payment!K:K,A26)+COUNTIF(Transfer_Remittance!K:K,A26)+COUNTIF(History_Disputes!K:K,A26)+COUNTIF(Security_Compliance!K:K,A26)+COUNTIF(End_to_End!K:K,A26)</f>
        <v>0</v>
      </c>
      <c r="D26" s="6" t="s">
        <v>43</v>
      </c>
      <c r="E26" s="19">
        <f>IF(E24=0,0,B25/E24)</f>
        <v>0</v>
      </c>
    </row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5:F5"/>
    <mergeCell ref="A11:F11"/>
    <mergeCell ref="A21:F21"/>
    <mergeCell ref="D22:F2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5.0"/>
    <col customWidth="1" min="3" max="3" width="28.0"/>
    <col customWidth="1" min="4" max="4" width="68.71"/>
    <col customWidth="1" min="5" max="5" width="42.0"/>
    <col customWidth="1" min="6" max="6" width="24.0"/>
    <col customWidth="1" min="7" max="7" width="32.0"/>
    <col customWidth="1" min="8" max="8" width="12.0"/>
    <col customWidth="1" min="9" max="9" width="14.0"/>
    <col customWidth="1" min="10" max="10" width="18.0"/>
    <col customWidth="1" min="11" max="11" width="12.0"/>
    <col customWidth="1" min="12" max="12" width="24.0"/>
    <col customWidth="1" min="13" max="26" width="8.71"/>
  </cols>
  <sheetData>
    <row r="1">
      <c r="A1" s="20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.0" customHeight="1">
      <c r="A2" s="21" t="s">
        <v>45</v>
      </c>
    </row>
    <row r="4">
      <c r="A4" s="8" t="s">
        <v>46</v>
      </c>
      <c r="B4" s="8" t="s">
        <v>12</v>
      </c>
      <c r="C4" s="8" t="s">
        <v>47</v>
      </c>
      <c r="D4" s="22" t="s">
        <v>48</v>
      </c>
      <c r="E4" s="8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54</v>
      </c>
      <c r="K4" s="8" t="s">
        <v>55</v>
      </c>
      <c r="L4" s="8" t="s">
        <v>34</v>
      </c>
      <c r="M4" s="8" t="s">
        <v>56</v>
      </c>
    </row>
    <row r="5" ht="60.0" customHeight="1">
      <c r="A5" s="23" t="s">
        <v>57</v>
      </c>
      <c r="B5" s="23" t="s">
        <v>18</v>
      </c>
      <c r="C5" s="23" t="s">
        <v>58</v>
      </c>
      <c r="D5" s="14" t="s">
        <v>59</v>
      </c>
      <c r="E5" s="23" t="s">
        <v>60</v>
      </c>
      <c r="F5" s="23" t="s">
        <v>61</v>
      </c>
      <c r="G5" s="23" t="s">
        <v>62</v>
      </c>
      <c r="H5" s="23" t="s">
        <v>63</v>
      </c>
      <c r="I5" s="23" t="s">
        <v>6</v>
      </c>
      <c r="J5" s="23" t="s">
        <v>64</v>
      </c>
      <c r="K5" s="23" t="s">
        <v>65</v>
      </c>
      <c r="L5" s="23" t="s">
        <v>4</v>
      </c>
      <c r="M5" s="23" t="s">
        <v>66</v>
      </c>
    </row>
    <row r="6" ht="45.0" customHeight="1">
      <c r="A6" s="23" t="s">
        <v>67</v>
      </c>
      <c r="B6" s="23" t="s">
        <v>18</v>
      </c>
      <c r="C6" s="23" t="s">
        <v>68</v>
      </c>
      <c r="D6" s="14" t="s">
        <v>69</v>
      </c>
      <c r="E6" s="23" t="s">
        <v>70</v>
      </c>
      <c r="F6" s="23" t="s">
        <v>71</v>
      </c>
      <c r="G6" s="23" t="s">
        <v>72</v>
      </c>
      <c r="H6" s="23" t="s">
        <v>73</v>
      </c>
      <c r="I6" s="23" t="s">
        <v>6</v>
      </c>
      <c r="J6" s="23" t="s">
        <v>74</v>
      </c>
      <c r="K6" s="23" t="s">
        <v>65</v>
      </c>
      <c r="L6" s="23" t="s">
        <v>4</v>
      </c>
      <c r="M6" s="23" t="s">
        <v>75</v>
      </c>
    </row>
    <row r="7" ht="60.0" customHeight="1">
      <c r="A7" s="23" t="s">
        <v>76</v>
      </c>
      <c r="B7" s="23" t="s">
        <v>18</v>
      </c>
      <c r="C7" s="23" t="s">
        <v>77</v>
      </c>
      <c r="D7" s="14" t="s">
        <v>78</v>
      </c>
      <c r="E7" s="23" t="s">
        <v>70</v>
      </c>
      <c r="F7" s="23" t="s">
        <v>79</v>
      </c>
      <c r="G7" s="23" t="s">
        <v>80</v>
      </c>
      <c r="H7" s="23" t="s">
        <v>81</v>
      </c>
      <c r="I7" s="23" t="s">
        <v>6</v>
      </c>
      <c r="J7" s="23" t="s">
        <v>74</v>
      </c>
      <c r="K7" s="23" t="s">
        <v>65</v>
      </c>
      <c r="L7" s="23" t="s">
        <v>4</v>
      </c>
      <c r="M7" s="23" t="s">
        <v>82</v>
      </c>
    </row>
    <row r="8" ht="60.0" customHeight="1">
      <c r="A8" s="23" t="s">
        <v>83</v>
      </c>
      <c r="B8" s="23" t="s">
        <v>18</v>
      </c>
      <c r="C8" s="23" t="s">
        <v>84</v>
      </c>
      <c r="D8" s="14" t="s">
        <v>85</v>
      </c>
      <c r="E8" s="23" t="s">
        <v>86</v>
      </c>
      <c r="F8" s="23" t="s">
        <v>87</v>
      </c>
      <c r="G8" s="23" t="s">
        <v>88</v>
      </c>
      <c r="H8" s="23" t="s">
        <v>89</v>
      </c>
      <c r="I8" s="23" t="s">
        <v>6</v>
      </c>
      <c r="J8" s="23" t="s">
        <v>74</v>
      </c>
      <c r="K8" s="23" t="s">
        <v>65</v>
      </c>
      <c r="L8" s="23" t="s">
        <v>4</v>
      </c>
      <c r="M8" s="23" t="s">
        <v>90</v>
      </c>
    </row>
    <row r="9" ht="45.0" customHeight="1">
      <c r="A9" s="23" t="s">
        <v>91</v>
      </c>
      <c r="B9" s="23" t="s">
        <v>18</v>
      </c>
      <c r="C9" s="23" t="s">
        <v>92</v>
      </c>
      <c r="D9" s="14" t="s">
        <v>93</v>
      </c>
      <c r="E9" s="23" t="s">
        <v>70</v>
      </c>
      <c r="F9" s="23" t="s">
        <v>94</v>
      </c>
      <c r="G9" s="23" t="s">
        <v>95</v>
      </c>
      <c r="H9" s="23" t="s">
        <v>96</v>
      </c>
      <c r="I9" s="23" t="s">
        <v>6</v>
      </c>
      <c r="J9" s="23" t="s">
        <v>74</v>
      </c>
      <c r="K9" s="23" t="s">
        <v>65</v>
      </c>
      <c r="L9" s="23" t="s">
        <v>4</v>
      </c>
      <c r="M9" s="23" t="s">
        <v>97</v>
      </c>
    </row>
    <row r="10" ht="75.0" customHeight="1">
      <c r="A10" s="23" t="s">
        <v>98</v>
      </c>
      <c r="B10" s="23" t="s">
        <v>18</v>
      </c>
      <c r="C10" s="23" t="s">
        <v>99</v>
      </c>
      <c r="D10" s="14" t="s">
        <v>100</v>
      </c>
      <c r="E10" s="23" t="s">
        <v>101</v>
      </c>
      <c r="F10" s="23" t="s">
        <v>102</v>
      </c>
      <c r="G10" s="23" t="s">
        <v>103</v>
      </c>
      <c r="H10" s="23" t="s">
        <v>104</v>
      </c>
      <c r="I10" s="23" t="s">
        <v>105</v>
      </c>
      <c r="J10" s="23" t="s">
        <v>64</v>
      </c>
      <c r="K10" s="23" t="s">
        <v>106</v>
      </c>
      <c r="L10" s="23" t="s">
        <v>4</v>
      </c>
      <c r="M10" s="23" t="s">
        <v>107</v>
      </c>
    </row>
    <row r="11">
      <c r="A11" s="14" t="s">
        <v>108</v>
      </c>
      <c r="B11" s="14" t="s">
        <v>18</v>
      </c>
      <c r="C11" s="14" t="s">
        <v>109</v>
      </c>
      <c r="D11" s="14" t="s">
        <v>110</v>
      </c>
      <c r="E11" s="14" t="s">
        <v>111</v>
      </c>
      <c r="F11" s="14" t="s">
        <v>112</v>
      </c>
      <c r="G11" s="14" t="s">
        <v>113</v>
      </c>
      <c r="H11" s="14" t="s">
        <v>114</v>
      </c>
      <c r="I11" s="14" t="s">
        <v>6</v>
      </c>
      <c r="J11" s="14" t="s">
        <v>74</v>
      </c>
      <c r="K11" s="14" t="s">
        <v>106</v>
      </c>
      <c r="L11" s="14" t="s">
        <v>4</v>
      </c>
      <c r="M11" s="14" t="s">
        <v>115</v>
      </c>
    </row>
    <row r="12">
      <c r="A12" s="14" t="s">
        <v>116</v>
      </c>
      <c r="B12" s="14" t="s">
        <v>18</v>
      </c>
      <c r="C12" s="14" t="s">
        <v>117</v>
      </c>
      <c r="D12" s="14" t="s">
        <v>118</v>
      </c>
      <c r="E12" s="14" t="s">
        <v>119</v>
      </c>
      <c r="F12" s="14" t="s">
        <v>120</v>
      </c>
      <c r="G12" s="14" t="s">
        <v>121</v>
      </c>
      <c r="H12" s="14" t="s">
        <v>122</v>
      </c>
      <c r="I12" s="14" t="s">
        <v>6</v>
      </c>
      <c r="J12" s="14" t="s">
        <v>64</v>
      </c>
      <c r="K12" s="14" t="s">
        <v>65</v>
      </c>
      <c r="L12" s="14" t="s">
        <v>4</v>
      </c>
      <c r="M12" s="14" t="s">
        <v>123</v>
      </c>
    </row>
    <row r="13">
      <c r="A13" s="14" t="s">
        <v>124</v>
      </c>
      <c r="B13" s="14" t="s">
        <v>18</v>
      </c>
      <c r="C13" s="14" t="s">
        <v>125</v>
      </c>
      <c r="D13" s="14" t="s">
        <v>126</v>
      </c>
      <c r="E13" s="14" t="s">
        <v>127</v>
      </c>
      <c r="F13" s="14" t="s">
        <v>128</v>
      </c>
      <c r="G13" s="14" t="s">
        <v>129</v>
      </c>
      <c r="H13" s="14" t="s">
        <v>130</v>
      </c>
      <c r="I13" s="14" t="s">
        <v>6</v>
      </c>
      <c r="J13" s="14" t="s">
        <v>74</v>
      </c>
      <c r="K13" s="14" t="s">
        <v>65</v>
      </c>
      <c r="L13" s="14" t="s">
        <v>4</v>
      </c>
      <c r="M13" s="14" t="s">
        <v>131</v>
      </c>
    </row>
    <row r="14">
      <c r="A14" s="14" t="s">
        <v>132</v>
      </c>
      <c r="B14" s="14" t="s">
        <v>18</v>
      </c>
      <c r="C14" s="14" t="s">
        <v>133</v>
      </c>
      <c r="D14" s="14" t="s">
        <v>134</v>
      </c>
      <c r="E14" s="14" t="s">
        <v>127</v>
      </c>
      <c r="F14" s="14" t="s">
        <v>135</v>
      </c>
      <c r="G14" s="14" t="s">
        <v>136</v>
      </c>
      <c r="H14" s="14" t="s">
        <v>137</v>
      </c>
      <c r="I14" s="14" t="s">
        <v>105</v>
      </c>
      <c r="J14" s="14" t="s">
        <v>138</v>
      </c>
      <c r="K14" s="14" t="s">
        <v>65</v>
      </c>
      <c r="L14" s="14" t="s">
        <v>4</v>
      </c>
      <c r="M14" s="14" t="s">
        <v>139</v>
      </c>
    </row>
    <row r="15">
      <c r="A15" s="14" t="s">
        <v>140</v>
      </c>
      <c r="B15" s="14" t="s">
        <v>18</v>
      </c>
      <c r="C15" s="14" t="s">
        <v>141</v>
      </c>
      <c r="D15" s="14" t="s">
        <v>142</v>
      </c>
      <c r="E15" s="14" t="s">
        <v>143</v>
      </c>
      <c r="F15" s="14" t="s">
        <v>144</v>
      </c>
      <c r="G15" s="14" t="s">
        <v>145</v>
      </c>
      <c r="H15" s="14" t="s">
        <v>146</v>
      </c>
      <c r="I15" s="14" t="s">
        <v>147</v>
      </c>
      <c r="J15" s="14" t="s">
        <v>64</v>
      </c>
      <c r="K15" s="14" t="s">
        <v>65</v>
      </c>
      <c r="L15" s="14" t="s">
        <v>4</v>
      </c>
      <c r="M15" s="14" t="s">
        <v>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conditionalFormatting sqref="K5:K10">
    <cfRule type="expression" dxfId="0" priority="1">
      <formula>K5="Pass"</formula>
    </cfRule>
  </conditionalFormatting>
  <conditionalFormatting sqref="K5:K10">
    <cfRule type="expression" dxfId="1" priority="2">
      <formula>K5="Fail"</formula>
    </cfRule>
  </conditionalFormatting>
  <conditionalFormatting sqref="K5:K10">
    <cfRule type="expression" dxfId="2" priority="3">
      <formula>K5="Blocked"</formula>
    </cfRule>
  </conditionalFormatting>
  <conditionalFormatting sqref="H5:H10">
    <cfRule type="expression" dxfId="3" priority="4">
      <formula>H5="High"</formula>
    </cfRule>
  </conditionalFormatting>
  <dataValidations>
    <dataValidation type="list" allowBlank="1" sqref="I5:I10">
      <formula1>"Positive,Negative,Boundary,Security,Regression"</formula1>
    </dataValidation>
    <dataValidation type="list" allowBlank="1" sqref="H5:H10">
      <formula1>"High,Medium,Low"</formula1>
    </dataValidation>
    <dataValidation type="list" allowBlank="1" sqref="J5:J10">
      <formula1>"Yes,No,Later"</formula1>
    </dataValidation>
    <dataValidation type="list" allowBlank="1" sqref="K5:K10">
      <formula1>"Not Run,Pass,Fail,Blocked"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5.0"/>
    <col customWidth="1" min="3" max="3" width="28.0"/>
    <col customWidth="1" min="4" max="4" width="57.86"/>
    <col customWidth="1" min="5" max="5" width="42.0"/>
    <col customWidth="1" min="6" max="6" width="24.0"/>
    <col customWidth="1" min="7" max="7" width="32.0"/>
    <col customWidth="1" min="8" max="8" width="12.0"/>
    <col customWidth="1" min="9" max="9" width="14.0"/>
    <col customWidth="1" min="10" max="10" width="18.0"/>
    <col customWidth="1" min="11" max="11" width="12.0"/>
    <col customWidth="1" min="12" max="12" width="24.0"/>
    <col customWidth="1" min="13" max="26" width="8.71"/>
  </cols>
  <sheetData>
    <row r="1">
      <c r="A1" s="20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.0" customHeight="1">
      <c r="A2" s="21" t="s">
        <v>45</v>
      </c>
    </row>
    <row r="4" ht="47.25" customHeight="1">
      <c r="A4" s="8" t="s">
        <v>46</v>
      </c>
      <c r="B4" s="8" t="s">
        <v>12</v>
      </c>
      <c r="C4" s="8" t="s">
        <v>47</v>
      </c>
      <c r="D4" s="22" t="s">
        <v>150</v>
      </c>
      <c r="E4" s="8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54</v>
      </c>
      <c r="K4" s="8" t="s">
        <v>55</v>
      </c>
      <c r="L4" s="8" t="s">
        <v>34</v>
      </c>
      <c r="M4" s="8" t="s">
        <v>56</v>
      </c>
    </row>
    <row r="5" ht="45.0" customHeight="1">
      <c r="A5" s="23" t="s">
        <v>151</v>
      </c>
      <c r="B5" s="23" t="s">
        <v>20</v>
      </c>
      <c r="C5" s="23" t="s">
        <v>152</v>
      </c>
      <c r="D5" s="14" t="s">
        <v>153</v>
      </c>
      <c r="E5" s="23" t="s">
        <v>154</v>
      </c>
      <c r="F5" s="23" t="s">
        <v>155</v>
      </c>
      <c r="G5" s="23" t="s">
        <v>156</v>
      </c>
      <c r="H5" s="23" t="s">
        <v>157</v>
      </c>
      <c r="I5" s="23" t="s">
        <v>6</v>
      </c>
      <c r="J5" s="23" t="s">
        <v>64</v>
      </c>
      <c r="K5" s="23" t="s">
        <v>65</v>
      </c>
      <c r="L5" s="23" t="s">
        <v>4</v>
      </c>
      <c r="M5" s="23" t="s">
        <v>158</v>
      </c>
    </row>
    <row r="6" ht="45.0" customHeight="1">
      <c r="A6" s="23" t="s">
        <v>159</v>
      </c>
      <c r="B6" s="23" t="s">
        <v>20</v>
      </c>
      <c r="C6" s="23" t="s">
        <v>160</v>
      </c>
      <c r="D6" s="14" t="s">
        <v>161</v>
      </c>
      <c r="E6" s="23" t="s">
        <v>162</v>
      </c>
      <c r="F6" s="23" t="s">
        <v>163</v>
      </c>
      <c r="G6" s="23" t="s">
        <v>164</v>
      </c>
      <c r="H6" s="23" t="s">
        <v>165</v>
      </c>
      <c r="I6" s="23" t="s">
        <v>105</v>
      </c>
      <c r="J6" s="23" t="s">
        <v>74</v>
      </c>
      <c r="K6" s="23" t="s">
        <v>65</v>
      </c>
      <c r="L6" s="23" t="s">
        <v>4</v>
      </c>
      <c r="M6" s="23" t="s">
        <v>166</v>
      </c>
    </row>
    <row r="7" ht="45.0" customHeight="1">
      <c r="A7" s="23" t="s">
        <v>167</v>
      </c>
      <c r="B7" s="23" t="s">
        <v>20</v>
      </c>
      <c r="C7" s="23" t="s">
        <v>168</v>
      </c>
      <c r="D7" s="14" t="s">
        <v>169</v>
      </c>
      <c r="E7" s="23" t="s">
        <v>143</v>
      </c>
      <c r="F7" s="23" t="s">
        <v>170</v>
      </c>
      <c r="G7" s="23" t="s">
        <v>171</v>
      </c>
      <c r="H7" s="23" t="s">
        <v>172</v>
      </c>
      <c r="I7" s="23" t="s">
        <v>147</v>
      </c>
      <c r="J7" s="23" t="s">
        <v>64</v>
      </c>
      <c r="K7" s="23" t="s">
        <v>65</v>
      </c>
      <c r="L7" s="23" t="s">
        <v>4</v>
      </c>
      <c r="M7" s="23" t="s">
        <v>173</v>
      </c>
    </row>
    <row r="8" ht="45.0" customHeight="1">
      <c r="A8" s="23" t="s">
        <v>174</v>
      </c>
      <c r="B8" s="23" t="s">
        <v>20</v>
      </c>
      <c r="C8" s="23" t="s">
        <v>175</v>
      </c>
      <c r="D8" s="14" t="s">
        <v>176</v>
      </c>
      <c r="E8" s="23" t="s">
        <v>177</v>
      </c>
      <c r="F8" s="23" t="s">
        <v>178</v>
      </c>
      <c r="G8" s="23" t="s">
        <v>179</v>
      </c>
      <c r="H8" s="23" t="s">
        <v>180</v>
      </c>
      <c r="I8" s="23" t="s">
        <v>147</v>
      </c>
      <c r="J8" s="23" t="s">
        <v>64</v>
      </c>
      <c r="K8" s="23" t="s">
        <v>106</v>
      </c>
      <c r="L8" s="23" t="s">
        <v>4</v>
      </c>
      <c r="M8" s="23" t="s">
        <v>181</v>
      </c>
    </row>
    <row r="9" ht="45.0" customHeight="1">
      <c r="A9" s="23" t="s">
        <v>182</v>
      </c>
      <c r="B9" s="23" t="s">
        <v>20</v>
      </c>
      <c r="C9" s="23" t="s">
        <v>183</v>
      </c>
      <c r="D9" s="14" t="s">
        <v>184</v>
      </c>
      <c r="E9" s="23" t="s">
        <v>185</v>
      </c>
      <c r="F9" s="23" t="s">
        <v>186</v>
      </c>
      <c r="G9" s="23" t="s">
        <v>187</v>
      </c>
      <c r="H9" s="23" t="s">
        <v>188</v>
      </c>
      <c r="I9" s="23" t="s">
        <v>147</v>
      </c>
      <c r="J9" s="23" t="s">
        <v>74</v>
      </c>
      <c r="K9" s="23" t="s">
        <v>106</v>
      </c>
      <c r="L9" s="23" t="s">
        <v>4</v>
      </c>
      <c r="M9" s="23" t="s">
        <v>82</v>
      </c>
    </row>
    <row r="10" ht="45.0" customHeight="1">
      <c r="A10" s="23" t="s">
        <v>189</v>
      </c>
      <c r="B10" s="23" t="s">
        <v>20</v>
      </c>
      <c r="C10" s="23" t="s">
        <v>190</v>
      </c>
      <c r="D10" s="14" t="s">
        <v>191</v>
      </c>
      <c r="E10" s="23" t="s">
        <v>143</v>
      </c>
      <c r="F10" s="23" t="s">
        <v>192</v>
      </c>
      <c r="G10" s="23" t="s">
        <v>193</v>
      </c>
      <c r="H10" s="23" t="s">
        <v>194</v>
      </c>
      <c r="I10" s="23" t="s">
        <v>147</v>
      </c>
      <c r="J10" s="23" t="s">
        <v>195</v>
      </c>
      <c r="K10" s="23" t="s">
        <v>65</v>
      </c>
      <c r="L10" s="23" t="s">
        <v>4</v>
      </c>
      <c r="M10" s="23" t="s">
        <v>196</v>
      </c>
    </row>
    <row r="11" ht="45.0" customHeight="1">
      <c r="A11" s="23" t="s">
        <v>197</v>
      </c>
      <c r="B11" s="23" t="s">
        <v>20</v>
      </c>
      <c r="C11" s="23" t="s">
        <v>198</v>
      </c>
      <c r="D11" s="14" t="s">
        <v>199</v>
      </c>
      <c r="E11" s="23" t="s">
        <v>200</v>
      </c>
      <c r="F11" s="23" t="s">
        <v>201</v>
      </c>
      <c r="G11" s="23" t="s">
        <v>202</v>
      </c>
      <c r="H11" s="23" t="s">
        <v>203</v>
      </c>
      <c r="I11" s="23" t="s">
        <v>6</v>
      </c>
      <c r="J11" s="23" t="s">
        <v>74</v>
      </c>
      <c r="K11" s="23" t="s">
        <v>65</v>
      </c>
      <c r="L11" s="23" t="s">
        <v>4</v>
      </c>
      <c r="M11" s="23" t="s">
        <v>204</v>
      </c>
    </row>
    <row r="12">
      <c r="A12" s="14" t="s">
        <v>205</v>
      </c>
      <c r="B12" s="14" t="s">
        <v>20</v>
      </c>
      <c r="C12" s="14" t="s">
        <v>206</v>
      </c>
      <c r="D12" s="14" t="s">
        <v>207</v>
      </c>
      <c r="E12" s="14" t="s">
        <v>200</v>
      </c>
      <c r="F12" s="14" t="s">
        <v>208</v>
      </c>
      <c r="G12" s="14" t="s">
        <v>202</v>
      </c>
      <c r="H12" s="14" t="s">
        <v>209</v>
      </c>
      <c r="I12" s="14" t="s">
        <v>105</v>
      </c>
      <c r="J12" s="14" t="s">
        <v>74</v>
      </c>
      <c r="K12" s="14" t="s">
        <v>65</v>
      </c>
      <c r="L12" s="14" t="s">
        <v>4</v>
      </c>
      <c r="M12" s="14" t="s">
        <v>210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5.0"/>
    <col customWidth="1" min="3" max="3" width="28.0"/>
    <col customWidth="1" min="4" max="4" width="82.43"/>
    <col customWidth="1" min="5" max="5" width="42.0"/>
    <col customWidth="1" min="6" max="6" width="24.0"/>
    <col customWidth="1" min="7" max="7" width="32.0"/>
    <col customWidth="1" min="8" max="8" width="12.0"/>
    <col customWidth="1" min="9" max="9" width="14.0"/>
    <col customWidth="1" min="10" max="10" width="18.0"/>
    <col customWidth="1" min="11" max="11" width="12.0"/>
    <col customWidth="1" min="12" max="12" width="24.0"/>
    <col customWidth="1" min="13" max="26" width="8.71"/>
  </cols>
  <sheetData>
    <row r="1">
      <c r="A1" s="20" t="s">
        <v>211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.0" customHeight="1">
      <c r="A2" s="21" t="s">
        <v>45</v>
      </c>
    </row>
    <row r="4">
      <c r="A4" s="8" t="s">
        <v>46</v>
      </c>
      <c r="B4" s="8" t="s">
        <v>12</v>
      </c>
      <c r="C4" s="8" t="s">
        <v>47</v>
      </c>
      <c r="D4" s="22" t="s">
        <v>212</v>
      </c>
      <c r="E4" s="8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54</v>
      </c>
      <c r="K4" s="8" t="s">
        <v>55</v>
      </c>
      <c r="L4" s="8" t="s">
        <v>34</v>
      </c>
      <c r="M4" s="8" t="s">
        <v>56</v>
      </c>
    </row>
    <row r="5" ht="60.0" customHeight="1">
      <c r="A5" s="23" t="s">
        <v>213</v>
      </c>
      <c r="B5" s="23" t="s">
        <v>22</v>
      </c>
      <c r="C5" s="23" t="s">
        <v>214</v>
      </c>
      <c r="D5" s="14" t="s">
        <v>215</v>
      </c>
      <c r="E5" s="23" t="s">
        <v>216</v>
      </c>
      <c r="F5" s="23" t="s">
        <v>217</v>
      </c>
      <c r="G5" s="23" t="s">
        <v>218</v>
      </c>
      <c r="H5" s="23" t="s">
        <v>219</v>
      </c>
      <c r="I5" s="23" t="s">
        <v>105</v>
      </c>
      <c r="J5" s="23" t="s">
        <v>64</v>
      </c>
      <c r="K5" s="23" t="s">
        <v>65</v>
      </c>
      <c r="L5" s="23" t="s">
        <v>4</v>
      </c>
      <c r="M5" s="23" t="s">
        <v>220</v>
      </c>
    </row>
    <row r="6" ht="45.0" customHeight="1">
      <c r="A6" s="23" t="s">
        <v>221</v>
      </c>
      <c r="B6" s="23" t="s">
        <v>22</v>
      </c>
      <c r="C6" s="23" t="s">
        <v>222</v>
      </c>
      <c r="D6" s="14" t="s">
        <v>223</v>
      </c>
      <c r="E6" s="23" t="s">
        <v>224</v>
      </c>
      <c r="F6" s="23" t="s">
        <v>225</v>
      </c>
      <c r="G6" s="23" t="s">
        <v>226</v>
      </c>
      <c r="H6" s="23" t="s">
        <v>227</v>
      </c>
      <c r="I6" s="23" t="s">
        <v>6</v>
      </c>
      <c r="J6" s="23" t="s">
        <v>64</v>
      </c>
      <c r="K6" s="23" t="s">
        <v>65</v>
      </c>
      <c r="L6" s="23" t="s">
        <v>4</v>
      </c>
      <c r="M6" s="23" t="s">
        <v>228</v>
      </c>
    </row>
    <row r="7" ht="60.0" customHeight="1">
      <c r="A7" s="23" t="s">
        <v>229</v>
      </c>
      <c r="B7" s="23" t="s">
        <v>22</v>
      </c>
      <c r="C7" s="23" t="s">
        <v>230</v>
      </c>
      <c r="D7" s="14" t="s">
        <v>231</v>
      </c>
      <c r="E7" s="23" t="s">
        <v>232</v>
      </c>
      <c r="F7" s="23" t="s">
        <v>233</v>
      </c>
      <c r="G7" s="23" t="s">
        <v>234</v>
      </c>
      <c r="H7" s="23" t="s">
        <v>235</v>
      </c>
      <c r="I7" s="23" t="s">
        <v>6</v>
      </c>
      <c r="J7" s="23" t="s">
        <v>74</v>
      </c>
      <c r="K7" s="23" t="s">
        <v>65</v>
      </c>
      <c r="L7" s="23" t="s">
        <v>4</v>
      </c>
      <c r="M7" s="23" t="s">
        <v>236</v>
      </c>
    </row>
    <row r="8" ht="45.0" customHeight="1">
      <c r="A8" s="23" t="s">
        <v>237</v>
      </c>
      <c r="B8" s="23" t="s">
        <v>22</v>
      </c>
      <c r="C8" s="23" t="s">
        <v>238</v>
      </c>
      <c r="D8" s="14" t="s">
        <v>239</v>
      </c>
      <c r="E8" s="23" t="s">
        <v>240</v>
      </c>
      <c r="F8" s="23" t="s">
        <v>241</v>
      </c>
      <c r="G8" s="23" t="s">
        <v>242</v>
      </c>
      <c r="H8" s="23" t="s">
        <v>243</v>
      </c>
      <c r="I8" s="23" t="s">
        <v>6</v>
      </c>
      <c r="J8" s="23" t="s">
        <v>74</v>
      </c>
      <c r="K8" s="23" t="s">
        <v>65</v>
      </c>
      <c r="L8" s="23" t="s">
        <v>4</v>
      </c>
      <c r="M8" s="23" t="s">
        <v>244</v>
      </c>
    </row>
    <row r="9" ht="45.0" customHeight="1">
      <c r="A9" s="23" t="s">
        <v>245</v>
      </c>
      <c r="B9" s="23" t="s">
        <v>22</v>
      </c>
      <c r="C9" s="23" t="s">
        <v>246</v>
      </c>
      <c r="D9" s="14" t="s">
        <v>247</v>
      </c>
      <c r="E9" s="23" t="s">
        <v>248</v>
      </c>
      <c r="F9" s="23" t="s">
        <v>249</v>
      </c>
      <c r="G9" s="23" t="s">
        <v>250</v>
      </c>
      <c r="H9" s="23" t="s">
        <v>251</v>
      </c>
      <c r="I9" s="23" t="s">
        <v>105</v>
      </c>
      <c r="J9" s="23" t="s">
        <v>74</v>
      </c>
      <c r="K9" s="23" t="s">
        <v>65</v>
      </c>
      <c r="L9" s="23" t="s">
        <v>4</v>
      </c>
      <c r="M9" s="23" t="s">
        <v>252</v>
      </c>
    </row>
    <row r="10" ht="60.0" customHeight="1">
      <c r="A10" s="23" t="s">
        <v>253</v>
      </c>
      <c r="B10" s="23" t="s">
        <v>22</v>
      </c>
      <c r="C10" s="23" t="s">
        <v>254</v>
      </c>
      <c r="D10" s="14" t="s">
        <v>255</v>
      </c>
      <c r="E10" s="23" t="s">
        <v>256</v>
      </c>
      <c r="F10" s="23" t="s">
        <v>257</v>
      </c>
      <c r="G10" s="23" t="s">
        <v>258</v>
      </c>
      <c r="H10" s="23" t="s">
        <v>259</v>
      </c>
      <c r="I10" s="23" t="s">
        <v>105</v>
      </c>
      <c r="J10" s="23" t="s">
        <v>74</v>
      </c>
      <c r="K10" s="23" t="s">
        <v>65</v>
      </c>
      <c r="L10" s="23" t="s">
        <v>4</v>
      </c>
      <c r="M10" s="23" t="s">
        <v>260</v>
      </c>
    </row>
    <row r="11" ht="45.0" customHeight="1">
      <c r="A11" s="23" t="s">
        <v>261</v>
      </c>
      <c r="B11" s="23" t="s">
        <v>22</v>
      </c>
      <c r="C11" s="23" t="s">
        <v>262</v>
      </c>
      <c r="D11" s="14" t="s">
        <v>263</v>
      </c>
      <c r="E11" s="23" t="s">
        <v>264</v>
      </c>
      <c r="F11" s="23" t="s">
        <v>265</v>
      </c>
      <c r="G11" s="23" t="s">
        <v>226</v>
      </c>
      <c r="H11" s="23" t="s">
        <v>266</v>
      </c>
      <c r="I11" s="23" t="s">
        <v>147</v>
      </c>
      <c r="J11" s="23" t="s">
        <v>64</v>
      </c>
      <c r="K11" s="23" t="s">
        <v>65</v>
      </c>
      <c r="L11" s="23" t="s">
        <v>4</v>
      </c>
      <c r="M11" s="23" t="s">
        <v>267</v>
      </c>
    </row>
    <row r="12">
      <c r="A12" s="14" t="s">
        <v>268</v>
      </c>
      <c r="B12" s="14" t="s">
        <v>22</v>
      </c>
      <c r="C12" s="14" t="s">
        <v>269</v>
      </c>
      <c r="D12" s="14" t="s">
        <v>270</v>
      </c>
      <c r="E12" s="14" t="s">
        <v>271</v>
      </c>
      <c r="F12" s="14" t="s">
        <v>272</v>
      </c>
      <c r="G12" s="14" t="s">
        <v>273</v>
      </c>
      <c r="H12" s="14" t="s">
        <v>274</v>
      </c>
      <c r="I12" s="14" t="s">
        <v>105</v>
      </c>
      <c r="J12" s="14" t="s">
        <v>275</v>
      </c>
      <c r="K12" s="14" t="s">
        <v>106</v>
      </c>
      <c r="L12" s="14" t="s">
        <v>4</v>
      </c>
      <c r="M12" s="14" t="s">
        <v>276</v>
      </c>
    </row>
    <row r="13">
      <c r="A13" s="14" t="s">
        <v>277</v>
      </c>
      <c r="B13" s="14" t="s">
        <v>22</v>
      </c>
      <c r="C13" s="14" t="s">
        <v>278</v>
      </c>
      <c r="D13" s="14" t="s">
        <v>279</v>
      </c>
      <c r="E13" s="14" t="s">
        <v>280</v>
      </c>
      <c r="F13" s="14" t="s">
        <v>281</v>
      </c>
      <c r="G13" s="14" t="s">
        <v>282</v>
      </c>
      <c r="H13" s="14" t="s">
        <v>283</v>
      </c>
      <c r="I13" s="14" t="s">
        <v>6</v>
      </c>
      <c r="J13" s="14" t="s">
        <v>74</v>
      </c>
      <c r="K13" s="14" t="s">
        <v>106</v>
      </c>
      <c r="L13" s="14" t="s">
        <v>4</v>
      </c>
      <c r="M13" s="14" t="s">
        <v>284</v>
      </c>
    </row>
    <row r="14">
      <c r="A14" s="14" t="s">
        <v>285</v>
      </c>
      <c r="B14" s="14" t="s">
        <v>22</v>
      </c>
      <c r="C14" s="14" t="s">
        <v>286</v>
      </c>
      <c r="D14" s="14" t="s">
        <v>287</v>
      </c>
      <c r="E14" s="14" t="s">
        <v>288</v>
      </c>
      <c r="F14" s="14" t="s">
        <v>289</v>
      </c>
      <c r="G14" s="14" t="s">
        <v>290</v>
      </c>
      <c r="H14" s="14" t="s">
        <v>291</v>
      </c>
      <c r="I14" s="14" t="s">
        <v>105</v>
      </c>
      <c r="J14" s="14" t="s">
        <v>64</v>
      </c>
      <c r="K14" s="14" t="s">
        <v>106</v>
      </c>
      <c r="L14" s="14" t="s">
        <v>4</v>
      </c>
      <c r="M14" s="14" t="s">
        <v>292</v>
      </c>
    </row>
    <row r="15">
      <c r="A15" s="14" t="s">
        <v>293</v>
      </c>
      <c r="B15" s="14" t="s">
        <v>22</v>
      </c>
      <c r="C15" s="14" t="s">
        <v>294</v>
      </c>
      <c r="D15" s="14" t="s">
        <v>295</v>
      </c>
      <c r="E15" s="14" t="s">
        <v>296</v>
      </c>
      <c r="F15" s="14" t="s">
        <v>297</v>
      </c>
      <c r="G15" s="14" t="s">
        <v>298</v>
      </c>
      <c r="H15" s="14" t="s">
        <v>299</v>
      </c>
      <c r="I15" s="14" t="s">
        <v>6</v>
      </c>
      <c r="J15" s="14" t="s">
        <v>195</v>
      </c>
      <c r="K15" s="14" t="s">
        <v>65</v>
      </c>
      <c r="L15" s="14" t="s">
        <v>4</v>
      </c>
      <c r="M15" s="14" t="s">
        <v>300</v>
      </c>
    </row>
    <row r="16">
      <c r="A16" s="14" t="s">
        <v>301</v>
      </c>
      <c r="B16" s="14" t="s">
        <v>22</v>
      </c>
      <c r="C16" s="14" t="s">
        <v>302</v>
      </c>
      <c r="D16" s="14" t="s">
        <v>303</v>
      </c>
      <c r="E16" s="14" t="s">
        <v>304</v>
      </c>
      <c r="F16" s="14" t="s">
        <v>305</v>
      </c>
      <c r="G16" s="14" t="s">
        <v>306</v>
      </c>
      <c r="H16" s="14" t="s">
        <v>307</v>
      </c>
      <c r="I16" s="14" t="s">
        <v>6</v>
      </c>
      <c r="J16" s="14" t="s">
        <v>74</v>
      </c>
      <c r="K16" s="14" t="s">
        <v>106</v>
      </c>
      <c r="L16" s="14" t="s">
        <v>4</v>
      </c>
      <c r="M16" s="14" t="s">
        <v>308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5.0"/>
    <col customWidth="1" min="3" max="3" width="28.0"/>
    <col customWidth="1" min="4" max="4" width="69.14"/>
    <col customWidth="1" min="5" max="5" width="42.0"/>
    <col customWidth="1" min="6" max="6" width="24.0"/>
    <col customWidth="1" min="7" max="7" width="32.0"/>
    <col customWidth="1" min="8" max="8" width="12.0"/>
    <col customWidth="1" min="9" max="9" width="14.0"/>
    <col customWidth="1" min="10" max="10" width="18.0"/>
    <col customWidth="1" min="11" max="11" width="12.0"/>
    <col customWidth="1" min="12" max="12" width="24.0"/>
    <col customWidth="1" min="13" max="26" width="8.71"/>
  </cols>
  <sheetData>
    <row r="1">
      <c r="A1" s="20" t="s">
        <v>309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.0" customHeight="1">
      <c r="A2" s="21" t="s">
        <v>45</v>
      </c>
    </row>
    <row r="4">
      <c r="A4" s="8" t="s">
        <v>46</v>
      </c>
      <c r="B4" s="8" t="s">
        <v>12</v>
      </c>
      <c r="C4" s="8" t="s">
        <v>47</v>
      </c>
      <c r="D4" s="22" t="s">
        <v>310</v>
      </c>
      <c r="E4" s="8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54</v>
      </c>
      <c r="K4" s="8" t="s">
        <v>55</v>
      </c>
      <c r="L4" s="8" t="s">
        <v>34</v>
      </c>
      <c r="M4" s="8" t="s">
        <v>56</v>
      </c>
    </row>
    <row r="5" ht="45.0" customHeight="1">
      <c r="A5" s="23" t="s">
        <v>311</v>
      </c>
      <c r="B5" s="23" t="s">
        <v>24</v>
      </c>
      <c r="C5" s="23" t="s">
        <v>312</v>
      </c>
      <c r="D5" s="14" t="s">
        <v>313</v>
      </c>
      <c r="E5" s="23" t="s">
        <v>216</v>
      </c>
      <c r="F5" s="23" t="s">
        <v>314</v>
      </c>
      <c r="G5" s="23" t="s">
        <v>315</v>
      </c>
      <c r="H5" s="23" t="s">
        <v>316</v>
      </c>
      <c r="I5" s="23" t="s">
        <v>105</v>
      </c>
      <c r="J5" s="23" t="s">
        <v>64</v>
      </c>
      <c r="K5" s="23" t="s">
        <v>65</v>
      </c>
      <c r="L5" s="23" t="s">
        <v>4</v>
      </c>
      <c r="M5" s="23" t="s">
        <v>317</v>
      </c>
    </row>
    <row r="6" ht="60.0" customHeight="1">
      <c r="A6" s="23" t="s">
        <v>318</v>
      </c>
      <c r="B6" s="23" t="s">
        <v>24</v>
      </c>
      <c r="C6" s="23" t="s">
        <v>319</v>
      </c>
      <c r="D6" s="14" t="s">
        <v>320</v>
      </c>
      <c r="E6" s="23" t="s">
        <v>321</v>
      </c>
      <c r="F6" s="23" t="s">
        <v>322</v>
      </c>
      <c r="G6" s="23" t="s">
        <v>315</v>
      </c>
      <c r="H6" s="23" t="s">
        <v>323</v>
      </c>
      <c r="I6" s="23" t="s">
        <v>6</v>
      </c>
      <c r="J6" s="23" t="s">
        <v>64</v>
      </c>
      <c r="K6" s="23" t="s">
        <v>65</v>
      </c>
      <c r="L6" s="23" t="s">
        <v>4</v>
      </c>
      <c r="M6" s="23" t="s">
        <v>324</v>
      </c>
    </row>
    <row r="7" ht="45.0" customHeight="1">
      <c r="A7" s="23" t="s">
        <v>325</v>
      </c>
      <c r="B7" s="23" t="s">
        <v>24</v>
      </c>
      <c r="C7" s="23" t="s">
        <v>326</v>
      </c>
      <c r="D7" s="14" t="s">
        <v>327</v>
      </c>
      <c r="E7" s="23" t="s">
        <v>321</v>
      </c>
      <c r="F7" s="23" t="s">
        <v>328</v>
      </c>
      <c r="G7" s="23" t="s">
        <v>329</v>
      </c>
      <c r="H7" s="23" t="s">
        <v>330</v>
      </c>
      <c r="I7" s="23" t="s">
        <v>6</v>
      </c>
      <c r="J7" s="23" t="s">
        <v>74</v>
      </c>
      <c r="K7" s="23" t="s">
        <v>65</v>
      </c>
      <c r="L7" s="23" t="s">
        <v>4</v>
      </c>
      <c r="M7" s="23" t="s">
        <v>331</v>
      </c>
    </row>
    <row r="8" ht="45.0" customHeight="1">
      <c r="A8" s="23" t="s">
        <v>332</v>
      </c>
      <c r="B8" s="23" t="s">
        <v>24</v>
      </c>
      <c r="C8" s="23" t="s">
        <v>333</v>
      </c>
      <c r="D8" s="14" t="s">
        <v>334</v>
      </c>
      <c r="E8" s="23" t="s">
        <v>335</v>
      </c>
      <c r="F8" s="23" t="s">
        <v>336</v>
      </c>
      <c r="G8" s="23" t="s">
        <v>337</v>
      </c>
      <c r="H8" s="23" t="s">
        <v>338</v>
      </c>
      <c r="I8" s="23" t="s">
        <v>105</v>
      </c>
      <c r="J8" s="23" t="s">
        <v>74</v>
      </c>
      <c r="K8" s="23" t="s">
        <v>65</v>
      </c>
      <c r="L8" s="23" t="s">
        <v>4</v>
      </c>
      <c r="M8" s="23" t="s">
        <v>252</v>
      </c>
    </row>
    <row r="9" ht="45.0" customHeight="1">
      <c r="A9" s="23" t="s">
        <v>339</v>
      </c>
      <c r="B9" s="23" t="s">
        <v>24</v>
      </c>
      <c r="C9" s="23" t="s">
        <v>340</v>
      </c>
      <c r="D9" s="14" t="s">
        <v>341</v>
      </c>
      <c r="E9" s="23" t="s">
        <v>321</v>
      </c>
      <c r="F9" s="23" t="s">
        <v>342</v>
      </c>
      <c r="G9" s="23" t="s">
        <v>343</v>
      </c>
      <c r="H9" s="23" t="s">
        <v>344</v>
      </c>
      <c r="I9" s="23" t="s">
        <v>147</v>
      </c>
      <c r="J9" s="23" t="s">
        <v>74</v>
      </c>
      <c r="K9" s="23" t="s">
        <v>65</v>
      </c>
      <c r="L9" s="23" t="s">
        <v>4</v>
      </c>
      <c r="M9" s="23" t="s">
        <v>345</v>
      </c>
    </row>
    <row r="10" ht="45.0" customHeight="1">
      <c r="A10" s="23" t="s">
        <v>346</v>
      </c>
      <c r="B10" s="23" t="s">
        <v>24</v>
      </c>
      <c r="C10" s="23" t="s">
        <v>347</v>
      </c>
      <c r="D10" s="14" t="s">
        <v>348</v>
      </c>
      <c r="E10" s="23" t="s">
        <v>143</v>
      </c>
      <c r="F10" s="23" t="s">
        <v>349</v>
      </c>
      <c r="G10" s="23" t="s">
        <v>350</v>
      </c>
      <c r="H10" s="23" t="s">
        <v>351</v>
      </c>
      <c r="I10" s="23" t="s">
        <v>6</v>
      </c>
      <c r="J10" s="23" t="s">
        <v>74</v>
      </c>
      <c r="K10" s="23" t="s">
        <v>65</v>
      </c>
      <c r="L10" s="23" t="s">
        <v>4</v>
      </c>
      <c r="M10" s="23" t="s">
        <v>352</v>
      </c>
    </row>
    <row r="11" ht="45.0" customHeight="1">
      <c r="A11" s="23" t="s">
        <v>353</v>
      </c>
      <c r="B11" s="23" t="s">
        <v>24</v>
      </c>
      <c r="C11" s="23" t="s">
        <v>354</v>
      </c>
      <c r="D11" s="14" t="s">
        <v>355</v>
      </c>
      <c r="E11" s="23" t="s">
        <v>356</v>
      </c>
      <c r="F11" s="23" t="s">
        <v>357</v>
      </c>
      <c r="G11" s="23" t="s">
        <v>358</v>
      </c>
      <c r="H11" s="23" t="s">
        <v>359</v>
      </c>
      <c r="I11" s="23" t="s">
        <v>105</v>
      </c>
      <c r="J11" s="23" t="s">
        <v>74</v>
      </c>
      <c r="K11" s="23" t="s">
        <v>65</v>
      </c>
      <c r="L11" s="23" t="s">
        <v>4</v>
      </c>
      <c r="M11" s="23" t="s">
        <v>260</v>
      </c>
    </row>
    <row r="12">
      <c r="A12" s="14" t="s">
        <v>360</v>
      </c>
      <c r="B12" s="14" t="s">
        <v>24</v>
      </c>
      <c r="C12" s="14" t="s">
        <v>361</v>
      </c>
      <c r="D12" s="14" t="s">
        <v>362</v>
      </c>
      <c r="E12" s="14" t="s">
        <v>363</v>
      </c>
      <c r="F12" s="14" t="s">
        <v>364</v>
      </c>
      <c r="G12" s="14" t="s">
        <v>315</v>
      </c>
      <c r="H12" s="14" t="s">
        <v>365</v>
      </c>
      <c r="I12" s="14" t="s">
        <v>147</v>
      </c>
      <c r="J12" s="14" t="s">
        <v>64</v>
      </c>
      <c r="K12" s="14" t="s">
        <v>65</v>
      </c>
      <c r="L12" s="14" t="s">
        <v>4</v>
      </c>
      <c r="M12" s="14" t="s">
        <v>267</v>
      </c>
    </row>
    <row r="13">
      <c r="A13" s="14" t="s">
        <v>366</v>
      </c>
      <c r="B13" s="14" t="s">
        <v>24</v>
      </c>
      <c r="C13" s="14" t="s">
        <v>367</v>
      </c>
      <c r="D13" s="14" t="s">
        <v>368</v>
      </c>
      <c r="E13" s="14" t="s">
        <v>369</v>
      </c>
      <c r="F13" s="14" t="s">
        <v>370</v>
      </c>
      <c r="G13" s="14" t="s">
        <v>273</v>
      </c>
      <c r="H13" s="14" t="s">
        <v>371</v>
      </c>
      <c r="I13" s="14" t="s">
        <v>105</v>
      </c>
      <c r="J13" s="14" t="s">
        <v>275</v>
      </c>
      <c r="K13" s="14" t="s">
        <v>106</v>
      </c>
      <c r="L13" s="14" t="s">
        <v>4</v>
      </c>
      <c r="M13" s="14" t="s">
        <v>372</v>
      </c>
    </row>
    <row r="14">
      <c r="A14" s="14" t="s">
        <v>373</v>
      </c>
      <c r="B14" s="14" t="s">
        <v>24</v>
      </c>
      <c r="C14" s="14" t="s">
        <v>374</v>
      </c>
      <c r="D14" s="14" t="s">
        <v>375</v>
      </c>
      <c r="E14" s="14" t="s">
        <v>376</v>
      </c>
      <c r="F14" s="14" t="s">
        <v>377</v>
      </c>
      <c r="G14" s="14" t="s">
        <v>378</v>
      </c>
      <c r="H14" s="14" t="s">
        <v>379</v>
      </c>
      <c r="I14" s="14" t="s">
        <v>105</v>
      </c>
      <c r="J14" s="14" t="s">
        <v>64</v>
      </c>
      <c r="K14" s="14" t="s">
        <v>106</v>
      </c>
      <c r="L14" s="14" t="s">
        <v>4</v>
      </c>
      <c r="M14" s="14" t="s">
        <v>380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5.0"/>
    <col customWidth="1" min="3" max="3" width="28.0"/>
    <col customWidth="1" min="4" max="4" width="74.57"/>
    <col customWidth="1" min="5" max="5" width="42.0"/>
    <col customWidth="1" min="6" max="6" width="24.0"/>
    <col customWidth="1" min="7" max="7" width="32.0"/>
    <col customWidth="1" min="8" max="8" width="12.0"/>
    <col customWidth="1" min="9" max="9" width="14.0"/>
    <col customWidth="1" min="10" max="10" width="18.0"/>
    <col customWidth="1" min="11" max="11" width="12.0"/>
    <col customWidth="1" min="12" max="12" width="24.0"/>
    <col customWidth="1" min="13" max="26" width="8.71"/>
  </cols>
  <sheetData>
    <row r="1">
      <c r="A1" s="20" t="s">
        <v>381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.0" customHeight="1">
      <c r="A2" s="21" t="s">
        <v>45</v>
      </c>
    </row>
    <row r="4">
      <c r="A4" s="8" t="s">
        <v>46</v>
      </c>
      <c r="B4" s="8" t="s">
        <v>12</v>
      </c>
      <c r="C4" s="8" t="s">
        <v>47</v>
      </c>
      <c r="D4" s="22" t="s">
        <v>382</v>
      </c>
      <c r="E4" s="8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54</v>
      </c>
      <c r="K4" s="8" t="s">
        <v>55</v>
      </c>
      <c r="L4" s="8" t="s">
        <v>34</v>
      </c>
      <c r="M4" s="8" t="s">
        <v>56</v>
      </c>
    </row>
    <row r="5" ht="60.0" customHeight="1">
      <c r="A5" s="23" t="s">
        <v>383</v>
      </c>
      <c r="B5" s="23" t="s">
        <v>26</v>
      </c>
      <c r="C5" s="23" t="s">
        <v>384</v>
      </c>
      <c r="D5" s="14" t="s">
        <v>385</v>
      </c>
      <c r="E5" s="23" t="s">
        <v>386</v>
      </c>
      <c r="F5" s="23" t="s">
        <v>387</v>
      </c>
      <c r="G5" s="23" t="s">
        <v>388</v>
      </c>
      <c r="H5" s="23" t="s">
        <v>389</v>
      </c>
      <c r="I5" s="23" t="s">
        <v>6</v>
      </c>
      <c r="J5" s="23" t="s">
        <v>64</v>
      </c>
      <c r="K5" s="23" t="s">
        <v>65</v>
      </c>
      <c r="L5" s="23" t="s">
        <v>4</v>
      </c>
      <c r="M5" s="23" t="s">
        <v>390</v>
      </c>
    </row>
    <row r="6" ht="60.0" customHeight="1">
      <c r="A6" s="23" t="s">
        <v>391</v>
      </c>
      <c r="B6" s="23" t="s">
        <v>26</v>
      </c>
      <c r="C6" s="23" t="s">
        <v>392</v>
      </c>
      <c r="D6" s="14" t="s">
        <v>393</v>
      </c>
      <c r="E6" s="23" t="s">
        <v>394</v>
      </c>
      <c r="F6" s="23" t="s">
        <v>395</v>
      </c>
      <c r="G6" s="23" t="s">
        <v>396</v>
      </c>
      <c r="H6" s="23" t="s">
        <v>397</v>
      </c>
      <c r="I6" s="23" t="s">
        <v>6</v>
      </c>
      <c r="J6" s="23" t="s">
        <v>64</v>
      </c>
      <c r="K6" s="23" t="s">
        <v>65</v>
      </c>
      <c r="L6" s="23" t="s">
        <v>4</v>
      </c>
      <c r="M6" s="23" t="s">
        <v>398</v>
      </c>
    </row>
    <row r="7" ht="60.0" customHeight="1">
      <c r="A7" s="23" t="s">
        <v>399</v>
      </c>
      <c r="B7" s="23" t="s">
        <v>26</v>
      </c>
      <c r="C7" s="23" t="s">
        <v>400</v>
      </c>
      <c r="D7" s="14" t="s">
        <v>401</v>
      </c>
      <c r="E7" s="23" t="s">
        <v>402</v>
      </c>
      <c r="F7" s="23" t="s">
        <v>403</v>
      </c>
      <c r="G7" s="23" t="s">
        <v>404</v>
      </c>
      <c r="H7" s="23" t="s">
        <v>405</v>
      </c>
      <c r="I7" s="23" t="s">
        <v>6</v>
      </c>
      <c r="J7" s="23" t="s">
        <v>74</v>
      </c>
      <c r="K7" s="23" t="s">
        <v>65</v>
      </c>
      <c r="L7" s="23" t="s">
        <v>4</v>
      </c>
      <c r="M7" s="23" t="s">
        <v>406</v>
      </c>
    </row>
    <row r="8" ht="60.0" customHeight="1">
      <c r="A8" s="23" t="s">
        <v>407</v>
      </c>
      <c r="B8" s="23" t="s">
        <v>26</v>
      </c>
      <c r="C8" s="23" t="s">
        <v>408</v>
      </c>
      <c r="D8" s="14" t="s">
        <v>409</v>
      </c>
      <c r="E8" s="23" t="s">
        <v>410</v>
      </c>
      <c r="F8" s="23" t="s">
        <v>411</v>
      </c>
      <c r="G8" s="23" t="s">
        <v>412</v>
      </c>
      <c r="H8" s="23" t="s">
        <v>413</v>
      </c>
      <c r="I8" s="23" t="s">
        <v>6</v>
      </c>
      <c r="J8" s="23" t="s">
        <v>195</v>
      </c>
      <c r="K8" s="23" t="s">
        <v>106</v>
      </c>
      <c r="L8" s="23" t="s">
        <v>4</v>
      </c>
      <c r="M8" s="23" t="s">
        <v>414</v>
      </c>
    </row>
    <row r="9" ht="45.0" customHeight="1">
      <c r="A9" s="23" t="s">
        <v>415</v>
      </c>
      <c r="B9" s="23" t="s">
        <v>26</v>
      </c>
      <c r="C9" s="23" t="s">
        <v>416</v>
      </c>
      <c r="D9" s="14" t="s">
        <v>417</v>
      </c>
      <c r="E9" s="23" t="s">
        <v>418</v>
      </c>
      <c r="F9" s="23" t="s">
        <v>419</v>
      </c>
      <c r="G9" s="23" t="s">
        <v>420</v>
      </c>
      <c r="H9" s="23" t="s">
        <v>421</v>
      </c>
      <c r="I9" s="23" t="s">
        <v>147</v>
      </c>
      <c r="J9" s="23" t="s">
        <v>195</v>
      </c>
      <c r="K9" s="23" t="s">
        <v>106</v>
      </c>
      <c r="L9" s="23" t="s">
        <v>4</v>
      </c>
      <c r="M9" s="23" t="s">
        <v>422</v>
      </c>
    </row>
    <row r="10" ht="60.0" customHeight="1">
      <c r="A10" s="23" t="s">
        <v>423</v>
      </c>
      <c r="B10" s="23" t="s">
        <v>26</v>
      </c>
      <c r="C10" s="23" t="s">
        <v>424</v>
      </c>
      <c r="D10" s="14" t="s">
        <v>425</v>
      </c>
      <c r="E10" s="23" t="s">
        <v>426</v>
      </c>
      <c r="F10" s="23" t="s">
        <v>427</v>
      </c>
      <c r="G10" s="23" t="s">
        <v>428</v>
      </c>
      <c r="H10" s="23" t="s">
        <v>429</v>
      </c>
      <c r="I10" s="23" t="s">
        <v>147</v>
      </c>
      <c r="J10" s="23" t="s">
        <v>64</v>
      </c>
      <c r="K10" s="23" t="s">
        <v>106</v>
      </c>
      <c r="L10" s="23" t="s">
        <v>4</v>
      </c>
      <c r="M10" s="23" t="s">
        <v>430</v>
      </c>
    </row>
    <row r="11" ht="45.0" customHeight="1">
      <c r="A11" s="23" t="s">
        <v>431</v>
      </c>
      <c r="B11" s="23" t="s">
        <v>26</v>
      </c>
      <c r="C11" s="23" t="s">
        <v>432</v>
      </c>
      <c r="D11" s="14" t="s">
        <v>433</v>
      </c>
      <c r="E11" s="23" t="s">
        <v>434</v>
      </c>
      <c r="F11" s="23" t="s">
        <v>435</v>
      </c>
      <c r="G11" s="23" t="s">
        <v>436</v>
      </c>
      <c r="H11" s="23" t="s">
        <v>437</v>
      </c>
      <c r="I11" s="23" t="s">
        <v>6</v>
      </c>
      <c r="J11" s="23" t="s">
        <v>64</v>
      </c>
      <c r="K11" s="23" t="s">
        <v>106</v>
      </c>
      <c r="L11" s="23" t="s">
        <v>4</v>
      </c>
      <c r="M11" s="23" t="s">
        <v>438</v>
      </c>
    </row>
    <row r="12" ht="45.0" customHeight="1">
      <c r="A12" s="23" t="s">
        <v>439</v>
      </c>
      <c r="B12" s="23" t="s">
        <v>26</v>
      </c>
      <c r="C12" s="23" t="s">
        <v>440</v>
      </c>
      <c r="D12" s="14" t="s">
        <v>441</v>
      </c>
      <c r="E12" s="23" t="s">
        <v>442</v>
      </c>
      <c r="F12" s="23" t="s">
        <v>443</v>
      </c>
      <c r="G12" s="23" t="s">
        <v>444</v>
      </c>
      <c r="H12" s="23" t="s">
        <v>445</v>
      </c>
      <c r="I12" s="23" t="s">
        <v>6</v>
      </c>
      <c r="J12" s="23" t="s">
        <v>74</v>
      </c>
      <c r="K12" s="23" t="s">
        <v>106</v>
      </c>
      <c r="L12" s="23" t="s">
        <v>4</v>
      </c>
      <c r="M12" s="23" t="s">
        <v>446</v>
      </c>
    </row>
    <row r="13" ht="60.0" customHeight="1">
      <c r="A13" s="23" t="s">
        <v>447</v>
      </c>
      <c r="B13" s="23" t="s">
        <v>26</v>
      </c>
      <c r="C13" s="23" t="s">
        <v>448</v>
      </c>
      <c r="D13" s="14" t="s">
        <v>449</v>
      </c>
      <c r="E13" s="23" t="s">
        <v>442</v>
      </c>
      <c r="F13" s="23" t="s">
        <v>450</v>
      </c>
      <c r="G13" s="23" t="s">
        <v>451</v>
      </c>
      <c r="H13" s="23" t="s">
        <v>452</v>
      </c>
      <c r="I13" s="23" t="s">
        <v>6</v>
      </c>
      <c r="J13" s="23" t="s">
        <v>64</v>
      </c>
      <c r="K13" s="23" t="s">
        <v>106</v>
      </c>
      <c r="L13" s="23" t="s">
        <v>4</v>
      </c>
      <c r="M13" s="23" t="s">
        <v>453</v>
      </c>
    </row>
    <row r="14" ht="75.0" customHeight="1">
      <c r="A14" s="23" t="s">
        <v>454</v>
      </c>
      <c r="B14" s="23" t="s">
        <v>26</v>
      </c>
      <c r="C14" s="23" t="s">
        <v>455</v>
      </c>
      <c r="D14" s="14" t="s">
        <v>456</v>
      </c>
      <c r="E14" s="23" t="s">
        <v>457</v>
      </c>
      <c r="F14" s="23" t="s">
        <v>458</v>
      </c>
      <c r="G14" s="23" t="s">
        <v>459</v>
      </c>
      <c r="H14" s="23" t="s">
        <v>460</v>
      </c>
      <c r="I14" s="23" t="s">
        <v>6</v>
      </c>
      <c r="J14" s="23" t="s">
        <v>138</v>
      </c>
      <c r="K14" s="23" t="s">
        <v>106</v>
      </c>
      <c r="L14" s="23" t="s">
        <v>4</v>
      </c>
      <c r="M14" s="23" t="s">
        <v>461</v>
      </c>
    </row>
    <row r="15" ht="60.0" customHeight="1">
      <c r="A15" s="23"/>
      <c r="B15" s="23"/>
      <c r="C15" s="23"/>
      <c r="E15" s="23"/>
      <c r="F15" s="23"/>
      <c r="G15" s="23"/>
      <c r="H15" s="23"/>
      <c r="I15" s="23"/>
      <c r="J15" s="23"/>
      <c r="K15" s="23"/>
      <c r="L15" s="23"/>
      <c r="M15" s="23"/>
    </row>
    <row r="16" ht="60.0" customHeight="1">
      <c r="A16" s="23"/>
      <c r="B16" s="23"/>
      <c r="C16" s="23"/>
      <c r="E16" s="23"/>
      <c r="F16" s="23"/>
      <c r="G16" s="23"/>
      <c r="H16" s="23"/>
      <c r="I16" s="23"/>
      <c r="J16" s="23"/>
      <c r="K16" s="23"/>
      <c r="L16" s="23"/>
      <c r="M16" s="23"/>
    </row>
    <row r="17" ht="45.0" customHeight="1">
      <c r="A17" s="23"/>
      <c r="B17" s="23"/>
      <c r="C17" s="23"/>
      <c r="E17" s="23"/>
      <c r="F17" s="23"/>
      <c r="G17" s="23"/>
      <c r="H17" s="23"/>
      <c r="I17" s="23"/>
      <c r="J17" s="23"/>
      <c r="K17" s="23"/>
      <c r="L17" s="23"/>
      <c r="M17" s="23"/>
    </row>
    <row r="18" ht="75.0" customHeight="1">
      <c r="A18" s="23"/>
      <c r="B18" s="23"/>
      <c r="C18" s="23"/>
      <c r="E18" s="23"/>
      <c r="F18" s="23"/>
      <c r="G18" s="23"/>
      <c r="H18" s="23"/>
      <c r="I18" s="23"/>
      <c r="J18" s="23"/>
      <c r="K18" s="23"/>
      <c r="L18" s="23"/>
      <c r="M18" s="23"/>
    </row>
    <row r="19" ht="60.0" customHeight="1">
      <c r="A19" s="23"/>
      <c r="B19" s="23"/>
      <c r="C19" s="23"/>
      <c r="E19" s="23"/>
      <c r="F19" s="23"/>
      <c r="G19" s="23"/>
      <c r="H19" s="23"/>
      <c r="I19" s="23"/>
      <c r="J19" s="23"/>
      <c r="K19" s="23"/>
      <c r="L19" s="23"/>
      <c r="M19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5.0"/>
    <col customWidth="1" min="3" max="3" width="28.0"/>
    <col customWidth="1" min="4" max="4" width="65.29"/>
    <col customWidth="1" min="5" max="5" width="42.0"/>
    <col customWidth="1" min="6" max="6" width="24.0"/>
    <col customWidth="1" min="7" max="7" width="32.0"/>
    <col customWidth="1" min="8" max="8" width="12.0"/>
    <col customWidth="1" min="9" max="9" width="14.0"/>
    <col customWidth="1" min="10" max="10" width="18.0"/>
    <col customWidth="1" min="11" max="11" width="12.0"/>
    <col customWidth="1" min="12" max="12" width="24.0"/>
    <col customWidth="1" min="13" max="26" width="8.71"/>
  </cols>
  <sheetData>
    <row r="1">
      <c r="A1" s="20" t="s">
        <v>462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.0" customHeight="1">
      <c r="A2" s="21" t="s">
        <v>45</v>
      </c>
    </row>
    <row r="4">
      <c r="A4" s="8" t="s">
        <v>46</v>
      </c>
      <c r="B4" s="8" t="s">
        <v>12</v>
      </c>
      <c r="C4" s="8" t="s">
        <v>47</v>
      </c>
      <c r="D4" s="22" t="s">
        <v>463</v>
      </c>
      <c r="E4" s="8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54</v>
      </c>
      <c r="K4" s="8" t="s">
        <v>55</v>
      </c>
      <c r="L4" s="8" t="s">
        <v>34</v>
      </c>
      <c r="M4" s="8" t="s">
        <v>56</v>
      </c>
    </row>
    <row r="5" ht="60.0" customHeight="1">
      <c r="A5" s="23" t="s">
        <v>464</v>
      </c>
      <c r="B5" s="23" t="s">
        <v>28</v>
      </c>
      <c r="C5" s="23" t="s">
        <v>465</v>
      </c>
      <c r="D5" s="14" t="s">
        <v>466</v>
      </c>
      <c r="E5" s="23" t="s">
        <v>143</v>
      </c>
      <c r="F5" s="23" t="s">
        <v>467</v>
      </c>
      <c r="G5" s="23" t="s">
        <v>468</v>
      </c>
      <c r="H5" s="23" t="s">
        <v>469</v>
      </c>
      <c r="I5" s="23" t="s">
        <v>6</v>
      </c>
      <c r="J5" s="23" t="s">
        <v>138</v>
      </c>
      <c r="K5" s="23" t="s">
        <v>65</v>
      </c>
      <c r="L5" s="23" t="s">
        <v>4</v>
      </c>
      <c r="M5" s="23" t="s">
        <v>470</v>
      </c>
    </row>
    <row r="6" ht="45.0" customHeight="1">
      <c r="A6" s="23" t="s">
        <v>471</v>
      </c>
      <c r="B6" s="23" t="s">
        <v>28</v>
      </c>
      <c r="C6" s="23" t="s">
        <v>472</v>
      </c>
      <c r="D6" s="14" t="s">
        <v>473</v>
      </c>
      <c r="E6" s="23" t="s">
        <v>474</v>
      </c>
      <c r="F6" s="23" t="s">
        <v>475</v>
      </c>
      <c r="G6" s="23" t="s">
        <v>476</v>
      </c>
      <c r="H6" s="23" t="s">
        <v>477</v>
      </c>
      <c r="I6" s="23" t="s">
        <v>105</v>
      </c>
      <c r="J6" s="23" t="s">
        <v>138</v>
      </c>
      <c r="K6" s="23" t="s">
        <v>65</v>
      </c>
      <c r="L6" s="23" t="s">
        <v>4</v>
      </c>
      <c r="M6" s="23" t="s">
        <v>478</v>
      </c>
    </row>
    <row r="7" ht="60.0" customHeight="1">
      <c r="A7" s="23" t="s">
        <v>479</v>
      </c>
      <c r="B7" s="23" t="s">
        <v>28</v>
      </c>
      <c r="C7" s="23" t="s">
        <v>480</v>
      </c>
      <c r="D7" s="14" t="s">
        <v>481</v>
      </c>
      <c r="E7" s="23" t="s">
        <v>143</v>
      </c>
      <c r="F7" s="23" t="s">
        <v>482</v>
      </c>
      <c r="G7" s="23" t="s">
        <v>483</v>
      </c>
      <c r="H7" s="23" t="s">
        <v>484</v>
      </c>
      <c r="I7" s="23" t="s">
        <v>147</v>
      </c>
      <c r="J7" s="23" t="s">
        <v>138</v>
      </c>
      <c r="K7" s="23" t="s">
        <v>106</v>
      </c>
      <c r="L7" s="23" t="s">
        <v>4</v>
      </c>
      <c r="M7" s="23" t="s">
        <v>485</v>
      </c>
    </row>
    <row r="8" ht="60.0" customHeight="1">
      <c r="A8" s="23" t="s">
        <v>486</v>
      </c>
      <c r="B8" s="23" t="s">
        <v>28</v>
      </c>
      <c r="C8" s="23" t="s">
        <v>487</v>
      </c>
      <c r="D8" s="14" t="s">
        <v>488</v>
      </c>
      <c r="E8" s="23" t="s">
        <v>489</v>
      </c>
      <c r="F8" s="23" t="s">
        <v>490</v>
      </c>
      <c r="G8" s="23" t="s">
        <v>491</v>
      </c>
      <c r="H8" s="23" t="s">
        <v>492</v>
      </c>
      <c r="I8" s="23" t="s">
        <v>6</v>
      </c>
      <c r="J8" s="23" t="s">
        <v>138</v>
      </c>
      <c r="K8" s="23" t="s">
        <v>106</v>
      </c>
      <c r="L8" s="23" t="s">
        <v>4</v>
      </c>
      <c r="M8" s="23" t="s">
        <v>493</v>
      </c>
    </row>
    <row r="9" ht="45.0" customHeight="1">
      <c r="A9" s="23" t="s">
        <v>494</v>
      </c>
      <c r="B9" s="23" t="s">
        <v>28</v>
      </c>
      <c r="C9" s="23" t="s">
        <v>495</v>
      </c>
      <c r="D9" s="14" t="s">
        <v>496</v>
      </c>
      <c r="E9" s="23" t="s">
        <v>154</v>
      </c>
      <c r="F9" s="23" t="s">
        <v>497</v>
      </c>
      <c r="G9" s="23" t="s">
        <v>498</v>
      </c>
      <c r="H9" s="23" t="s">
        <v>499</v>
      </c>
      <c r="I9" s="23" t="s">
        <v>105</v>
      </c>
      <c r="J9" s="23" t="s">
        <v>138</v>
      </c>
      <c r="K9" s="23" t="s">
        <v>106</v>
      </c>
      <c r="L9" s="23" t="s">
        <v>4</v>
      </c>
      <c r="M9" s="23" t="s">
        <v>500</v>
      </c>
    </row>
    <row r="10" ht="75.0" customHeight="1">
      <c r="A10" s="23" t="s">
        <v>501</v>
      </c>
      <c r="B10" s="23" t="s">
        <v>28</v>
      </c>
      <c r="C10" s="23" t="s">
        <v>502</v>
      </c>
      <c r="D10" s="14" t="s">
        <v>503</v>
      </c>
      <c r="E10" s="23" t="s">
        <v>504</v>
      </c>
      <c r="F10" s="23" t="s">
        <v>505</v>
      </c>
      <c r="G10" s="23" t="s">
        <v>202</v>
      </c>
      <c r="H10" s="23" t="s">
        <v>506</v>
      </c>
      <c r="I10" s="23" t="s">
        <v>105</v>
      </c>
      <c r="J10" s="23" t="s">
        <v>74</v>
      </c>
      <c r="K10" s="23" t="s">
        <v>65</v>
      </c>
      <c r="L10" s="23" t="s">
        <v>4</v>
      </c>
      <c r="M10" s="23" t="s">
        <v>507</v>
      </c>
    </row>
    <row r="11">
      <c r="A11" s="14" t="s">
        <v>508</v>
      </c>
      <c r="B11" s="14" t="s">
        <v>28</v>
      </c>
      <c r="C11" s="14" t="s">
        <v>509</v>
      </c>
      <c r="D11" s="14" t="s">
        <v>510</v>
      </c>
      <c r="E11" s="14" t="s">
        <v>511</v>
      </c>
      <c r="F11" s="14" t="s">
        <v>512</v>
      </c>
      <c r="G11" s="14" t="s">
        <v>513</v>
      </c>
      <c r="H11" s="14" t="s">
        <v>514</v>
      </c>
      <c r="I11" s="14" t="s">
        <v>6</v>
      </c>
      <c r="J11" s="14" t="s">
        <v>515</v>
      </c>
      <c r="K11" s="14" t="s">
        <v>106</v>
      </c>
      <c r="L11" s="14" t="s">
        <v>4</v>
      </c>
      <c r="M11" s="14" t="s">
        <v>516</v>
      </c>
    </row>
    <row r="12">
      <c r="A12" s="14" t="s">
        <v>517</v>
      </c>
      <c r="B12" s="14" t="s">
        <v>28</v>
      </c>
      <c r="C12" s="14" t="s">
        <v>518</v>
      </c>
      <c r="D12" s="14" t="s">
        <v>519</v>
      </c>
      <c r="E12" s="14" t="s">
        <v>520</v>
      </c>
      <c r="F12" s="14" t="s">
        <v>521</v>
      </c>
      <c r="G12" s="14" t="s">
        <v>522</v>
      </c>
      <c r="H12" s="14" t="s">
        <v>523</v>
      </c>
      <c r="I12" s="14" t="s">
        <v>105</v>
      </c>
      <c r="J12" s="14" t="s">
        <v>524</v>
      </c>
      <c r="K12" s="14" t="s">
        <v>106</v>
      </c>
      <c r="L12" s="14" t="s">
        <v>4</v>
      </c>
      <c r="M12" s="14" t="s">
        <v>525</v>
      </c>
    </row>
    <row r="13">
      <c r="A13" s="14" t="s">
        <v>526</v>
      </c>
      <c r="B13" s="14" t="s">
        <v>28</v>
      </c>
      <c r="C13" s="14" t="s">
        <v>527</v>
      </c>
      <c r="D13" s="14" t="s">
        <v>528</v>
      </c>
      <c r="E13" s="14" t="s">
        <v>529</v>
      </c>
      <c r="F13" s="14" t="s">
        <v>530</v>
      </c>
      <c r="G13" s="14" t="s">
        <v>531</v>
      </c>
      <c r="H13" s="14" t="s">
        <v>532</v>
      </c>
      <c r="I13" s="14" t="s">
        <v>6</v>
      </c>
      <c r="J13" s="14" t="s">
        <v>138</v>
      </c>
      <c r="K13" s="14" t="s">
        <v>106</v>
      </c>
      <c r="L13" s="14" t="s">
        <v>4</v>
      </c>
      <c r="M13" s="14" t="s">
        <v>533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5.0"/>
    <col customWidth="1" min="3" max="3" width="28.0"/>
    <col customWidth="1" min="4" max="4" width="66.71"/>
    <col customWidth="1" min="5" max="5" width="42.0"/>
    <col customWidth="1" min="6" max="6" width="24.0"/>
    <col customWidth="1" min="7" max="7" width="32.0"/>
    <col customWidth="1" min="8" max="8" width="12.0"/>
    <col customWidth="1" min="9" max="9" width="14.0"/>
    <col customWidth="1" min="10" max="10" width="18.0"/>
    <col customWidth="1" min="11" max="11" width="12.0"/>
    <col customWidth="1" min="12" max="12" width="24.0"/>
    <col customWidth="1" min="13" max="26" width="8.71"/>
  </cols>
  <sheetData>
    <row r="1">
      <c r="A1" s="20" t="s">
        <v>534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.0" customHeight="1">
      <c r="A2" s="21" t="s">
        <v>45</v>
      </c>
    </row>
    <row r="4">
      <c r="A4" s="8" t="s">
        <v>46</v>
      </c>
      <c r="B4" s="8" t="s">
        <v>12</v>
      </c>
      <c r="C4" s="8" t="s">
        <v>47</v>
      </c>
      <c r="D4" s="22" t="s">
        <v>535</v>
      </c>
      <c r="E4" s="8" t="s">
        <v>49</v>
      </c>
      <c r="F4" s="8" t="s">
        <v>50</v>
      </c>
      <c r="G4" s="8" t="s">
        <v>51</v>
      </c>
      <c r="H4" s="8" t="s">
        <v>52</v>
      </c>
      <c r="I4" s="8" t="s">
        <v>53</v>
      </c>
      <c r="J4" s="8" t="s">
        <v>54</v>
      </c>
      <c r="K4" s="8" t="s">
        <v>55</v>
      </c>
      <c r="L4" s="8" t="s">
        <v>34</v>
      </c>
      <c r="M4" s="8" t="s">
        <v>56</v>
      </c>
    </row>
    <row r="5" ht="105.0" customHeight="1">
      <c r="A5" s="23" t="s">
        <v>536</v>
      </c>
      <c r="B5" s="23" t="s">
        <v>30</v>
      </c>
      <c r="C5" s="23" t="s">
        <v>537</v>
      </c>
      <c r="D5" s="14" t="s">
        <v>538</v>
      </c>
      <c r="E5" s="23" t="s">
        <v>539</v>
      </c>
      <c r="F5" s="23" t="s">
        <v>540</v>
      </c>
      <c r="G5" s="23" t="s">
        <v>541</v>
      </c>
      <c r="H5" s="23" t="s">
        <v>542</v>
      </c>
      <c r="I5" s="23" t="s">
        <v>105</v>
      </c>
      <c r="J5" s="23" t="s">
        <v>64</v>
      </c>
      <c r="K5" s="23" t="s">
        <v>106</v>
      </c>
      <c r="L5" s="23" t="s">
        <v>4</v>
      </c>
      <c r="M5" s="23" t="s">
        <v>543</v>
      </c>
    </row>
    <row r="6" ht="75.0" customHeight="1">
      <c r="A6" s="23" t="s">
        <v>544</v>
      </c>
      <c r="B6" s="23" t="s">
        <v>30</v>
      </c>
      <c r="C6" s="23" t="s">
        <v>545</v>
      </c>
      <c r="D6" s="14" t="s">
        <v>546</v>
      </c>
      <c r="E6" s="23" t="s">
        <v>547</v>
      </c>
      <c r="F6" s="23" t="s">
        <v>548</v>
      </c>
      <c r="G6" s="23" t="s">
        <v>315</v>
      </c>
      <c r="H6" s="23" t="s">
        <v>549</v>
      </c>
      <c r="I6" s="23" t="s">
        <v>105</v>
      </c>
      <c r="J6" s="23" t="s">
        <v>64</v>
      </c>
      <c r="K6" s="23" t="s">
        <v>65</v>
      </c>
      <c r="L6" s="23" t="s">
        <v>4</v>
      </c>
      <c r="M6" s="23" t="s">
        <v>550</v>
      </c>
    </row>
    <row r="7" ht="60.0" customHeight="1">
      <c r="A7" s="23" t="s">
        <v>551</v>
      </c>
      <c r="B7" s="23" t="s">
        <v>30</v>
      </c>
      <c r="C7" s="23" t="s">
        <v>552</v>
      </c>
      <c r="D7" s="14" t="s">
        <v>553</v>
      </c>
      <c r="E7" s="23" t="s">
        <v>554</v>
      </c>
      <c r="F7" s="23" t="s">
        <v>555</v>
      </c>
      <c r="G7" s="23" t="s">
        <v>556</v>
      </c>
      <c r="H7" s="23" t="s">
        <v>557</v>
      </c>
      <c r="I7" s="23" t="s">
        <v>105</v>
      </c>
      <c r="J7" s="23" t="s">
        <v>195</v>
      </c>
      <c r="K7" s="23" t="s">
        <v>65</v>
      </c>
      <c r="L7" s="23" t="s">
        <v>4</v>
      </c>
      <c r="M7" s="23" t="s">
        <v>558</v>
      </c>
    </row>
    <row r="8" ht="75.0" customHeight="1">
      <c r="A8" s="23" t="s">
        <v>559</v>
      </c>
      <c r="B8" s="23" t="s">
        <v>30</v>
      </c>
      <c r="C8" s="23" t="s">
        <v>560</v>
      </c>
      <c r="D8" s="14" t="s">
        <v>561</v>
      </c>
      <c r="E8" s="23" t="s">
        <v>562</v>
      </c>
      <c r="F8" s="23" t="s">
        <v>563</v>
      </c>
      <c r="G8" s="23" t="s">
        <v>564</v>
      </c>
      <c r="H8" s="23" t="s">
        <v>565</v>
      </c>
      <c r="I8" s="23" t="s">
        <v>105</v>
      </c>
      <c r="J8" s="23" t="s">
        <v>74</v>
      </c>
      <c r="K8" s="23" t="s">
        <v>106</v>
      </c>
      <c r="L8" s="23" t="s">
        <v>4</v>
      </c>
      <c r="M8" s="23" t="s">
        <v>566</v>
      </c>
    </row>
    <row r="9" ht="60.0" customHeight="1">
      <c r="A9" s="23" t="s">
        <v>567</v>
      </c>
      <c r="B9" s="23" t="s">
        <v>30</v>
      </c>
      <c r="C9" s="23" t="s">
        <v>568</v>
      </c>
      <c r="D9" s="14" t="s">
        <v>569</v>
      </c>
      <c r="E9" s="23" t="s">
        <v>200</v>
      </c>
      <c r="F9" s="23" t="s">
        <v>570</v>
      </c>
      <c r="G9" s="23" t="s">
        <v>202</v>
      </c>
      <c r="H9" s="23" t="s">
        <v>571</v>
      </c>
      <c r="I9" s="23" t="s">
        <v>105</v>
      </c>
      <c r="J9" s="23" t="s">
        <v>74</v>
      </c>
      <c r="K9" s="23" t="s">
        <v>65</v>
      </c>
      <c r="L9" s="23" t="s">
        <v>4</v>
      </c>
      <c r="M9" s="23" t="s">
        <v>572</v>
      </c>
    </row>
    <row r="10">
      <c r="A10" s="23" t="s">
        <v>573</v>
      </c>
      <c r="B10" s="23" t="s">
        <v>30</v>
      </c>
      <c r="C10" s="23" t="s">
        <v>574</v>
      </c>
      <c r="D10" s="14" t="s">
        <v>575</v>
      </c>
      <c r="E10" s="23" t="s">
        <v>576</v>
      </c>
      <c r="F10" s="23" t="s">
        <v>577</v>
      </c>
      <c r="G10" s="23" t="s">
        <v>578</v>
      </c>
      <c r="H10" s="23" t="s">
        <v>579</v>
      </c>
      <c r="I10" s="23" t="s">
        <v>6</v>
      </c>
      <c r="J10" s="23" t="s">
        <v>64</v>
      </c>
      <c r="K10" s="23" t="s">
        <v>106</v>
      </c>
      <c r="L10" s="23" t="s">
        <v>4</v>
      </c>
      <c r="M10" s="23" t="s">
        <v>580</v>
      </c>
    </row>
    <row r="17">
      <c r="D17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2026-03-24T07:42:17Z</dcterms:created>
  <dc:creator>openpyxl</dc:creator>
</cp:coreProperties>
</file>